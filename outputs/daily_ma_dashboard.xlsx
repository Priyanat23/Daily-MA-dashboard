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ilyMA" sheetId="2" state="visible" r:id="rId2"/>
    <sheet name="RawData" sheetId="3" state="visible" r:id="rId3"/>
  </sheets>
  <definedNames>
    <definedName name="TodayDay">RawData!$C$32</definedName>
    <definedName name="RevenueMonth">RawData!$C$33</definedName>
    <definedName name="IncentiveTarget">RawData!$C$34</definedName>
    <definedName name="IncentiveActual">RawData!$C$35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(#,##0.00)"/>
    <numFmt numFmtId="165" formatCode="&quot;▲ +&quot;#,##0.00;&quot;▼ -&quot;#,##0.00"/>
    <numFmt numFmtId="166" formatCode="&quot;Target: &quot;#,##0"/>
    <numFmt numFmtId="167" formatCode="&quot;Target: &quot;0.00%"/>
    <numFmt numFmtId="168" formatCode="&quot;Target: &quot;#,##0.00;&quot;Target: (&quot;#,##0.00&quot;)&quot;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FF"/>
      <sz val="9"/>
    </font>
    <font>
      <name val="Arial"/>
      <b val="1"/>
      <color rgb="001F2937"/>
      <sz val="9"/>
    </font>
    <font>
      <name val="Arial"/>
      <b val="1"/>
      <color rgb="001E40AF"/>
      <sz val="11"/>
    </font>
    <font>
      <name val="Arial"/>
      <b val="1"/>
      <color rgb="001F2937"/>
      <sz val="10"/>
    </font>
    <font>
      <name val="Arial"/>
      <b val="1"/>
      <color rgb="000000FF"/>
      <sz val="10"/>
    </font>
    <font>
      <name val="Arial"/>
      <i val="1"/>
      <color rgb="006B7280"/>
      <sz val="8"/>
    </font>
    <font>
      <name val="Arial"/>
      <b val="1"/>
      <color rgb="001E40AF"/>
      <sz val="16"/>
    </font>
    <font>
      <name val="Arial"/>
      <color rgb="001E3A8A"/>
      <sz val="10"/>
    </font>
    <font>
      <name val="Arial"/>
      <b val="1"/>
      <color rgb="001E40AF"/>
      <sz val="12"/>
    </font>
    <font>
      <name val="Arial"/>
      <color rgb="006B7280"/>
      <sz val="10"/>
    </font>
    <font>
      <name val="Arial"/>
      <b val="1"/>
      <color rgb="001E40AF"/>
      <sz val="9"/>
    </font>
    <font>
      <name val="Arial"/>
      <b val="1"/>
      <color rgb="001F2937"/>
      <sz val="18"/>
    </font>
    <font>
      <name val="Arial"/>
      <color rgb="006B7280"/>
      <sz val="9"/>
    </font>
    <font>
      <name val="Arial"/>
      <b val="1"/>
      <color rgb="0016A34A"/>
      <sz val="9"/>
    </font>
    <font>
      <name val="Arial"/>
      <b val="1"/>
      <color rgb="00374151"/>
      <sz val="11"/>
    </font>
    <font>
      <name val="Arial"/>
      <b val="1"/>
      <color rgb="001F2937"/>
      <sz val="13"/>
    </font>
    <font>
      <name val="Arial"/>
      <color rgb="006B7280"/>
      <sz val="8"/>
    </font>
    <font>
      <name val="Arial"/>
      <b val="1"/>
      <color rgb="00FFFFFF"/>
      <sz val="8"/>
    </font>
    <font>
      <name val="Arial"/>
      <color rgb="001F2937"/>
      <sz val="9"/>
    </font>
    <font>
      <name val="Arial"/>
      <b val="1"/>
      <color rgb="001E40AF"/>
      <sz val="10"/>
    </font>
    <font>
      <name val="Arial"/>
      <color rgb="00374151"/>
      <sz val="9"/>
    </font>
    <font>
      <name val="Arial"/>
      <b val="1"/>
      <color rgb="00166534"/>
      <sz val="11"/>
    </font>
    <font>
      <name val="Arial"/>
      <b val="1"/>
      <color rgb="001F2937"/>
      <sz val="15"/>
    </font>
    <font>
      <name val="Arial"/>
      <color rgb="001F2937"/>
      <sz val="8"/>
    </font>
    <font>
      <name val="Arial"/>
      <b val="1"/>
      <color rgb="001F2937"/>
      <sz val="8"/>
    </font>
  </fonts>
  <fills count="9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EF9EC"/>
        <bgColor rgb="00FEF9EC"/>
      </patternFill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EDE9FE"/>
        <bgColor rgb="00EDE9FE"/>
      </patternFill>
    </fill>
  </fills>
  <borders count="5">
    <border>
      <left/>
      <right/>
      <top/>
      <bottom/>
      <diagonal/>
    </border>
    <border>
      <left style="thin">
        <color rgb="00DBEAFE"/>
      </left>
      <right style="thin">
        <color rgb="00DBEAFE"/>
      </right>
      <top style="thin">
        <color rgb="00DBEAFE"/>
      </top>
      <bottom style="thin">
        <color rgb="00DBEAFE"/>
      </bottom>
    </border>
    <border>
      <left style="thin">
        <color rgb="00DBEAFE"/>
      </left>
      <right/>
      <top/>
      <bottom/>
      <diagonal/>
    </border>
    <border>
      <left style="thin">
        <color rgb="00DBEAFE"/>
      </left>
      <right style="thin">
        <color rgb="00DBEAFE"/>
      </right>
      <top/>
      <bottom/>
      <diagonal/>
    </border>
    <border>
      <left style="thin">
        <color rgb="00DBEAFE"/>
      </left>
      <right style="thin">
        <color rgb="00DBEAFE"/>
      </right>
      <top/>
      <bottom style="thin">
        <color rgb="00DBEAFE"/>
      </bottom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8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9" fillId="4" borderId="0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1" fillId="5" borderId="1" applyAlignment="1" pivotButton="0" quotePrefix="0" xfId="0">
      <alignment horizontal="left" vertical="center" wrapText="1"/>
    </xf>
    <xf numFmtId="4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3" fontId="13" fillId="5" borderId="1" applyAlignment="1" pivotButton="0" quotePrefix="0" xfId="0">
      <alignment horizontal="center" vertical="center" wrapText="1"/>
    </xf>
    <xf numFmtId="10" fontId="13" fillId="5" borderId="1" applyAlignment="1" pivotButton="0" quotePrefix="0" xfId="0">
      <alignment horizontal="center" vertical="center" wrapText="1"/>
    </xf>
    <xf numFmtId="166" fontId="14" fillId="5" borderId="1" applyAlignment="1" pivotButton="0" quotePrefix="0" xfId="0">
      <alignment horizontal="center" vertical="center" wrapText="1"/>
    </xf>
    <xf numFmtId="167" fontId="14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6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10" fillId="5" borderId="0" applyAlignment="1" pivotButton="0" quotePrefix="0" xfId="0">
      <alignment horizontal="left" vertical="center" wrapText="1"/>
    </xf>
    <xf numFmtId="164" fontId="17" fillId="5" borderId="1" applyAlignment="1" pivotButton="0" quotePrefix="0" xfId="0">
      <alignment horizontal="center" vertical="center" wrapText="1"/>
    </xf>
    <xf numFmtId="168" fontId="18" fillId="5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3" fillId="7" borderId="1" pivotButton="0" quotePrefix="0" xfId="0"/>
    <xf numFmtId="0" fontId="20" fillId="7" borderId="1" pivotButton="0" quotePrefix="0" xfId="0"/>
    <xf numFmtId="0" fontId="14" fillId="7" borderId="1" pivotButton="0" quotePrefix="0" xfId="0"/>
    <xf numFmtId="164" fontId="14" fillId="0" borderId="1" applyAlignment="1" pivotButton="0" quotePrefix="0" xfId="0">
      <alignment horizontal="right" vertical="center"/>
    </xf>
    <xf numFmtId="10" fontId="14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20" fillId="0" borderId="1" pivotButton="0" quotePrefix="0" xfId="0"/>
    <xf numFmtId="16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3" fillId="0" borderId="1" pivotButton="0" quotePrefix="0" xfId="0"/>
    <xf numFmtId="164" fontId="2" fillId="0" borderId="1" applyAlignment="1" pivotButton="0" quotePrefix="0" xfId="0">
      <alignment horizontal="right" vertical="center"/>
    </xf>
    <xf numFmtId="164" fontId="3" fillId="0" borderId="1" pivotButton="0" quotePrefix="0" xfId="0"/>
    <xf numFmtId="10" fontId="3" fillId="0" borderId="1" pivotButton="0" quotePrefix="0" xfId="0"/>
    <xf numFmtId="0" fontId="21" fillId="4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3" fontId="24" fillId="5" borderId="1" applyAlignment="1" pivotButton="0" quotePrefix="0" xfId="0">
      <alignment horizontal="center" vertical="center" wrapText="1"/>
    </xf>
    <xf numFmtId="10" fontId="24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5" fillId="0" borderId="1" pivotButton="0" quotePrefix="0" xfId="0"/>
    <xf numFmtId="0" fontId="18" fillId="0" borderId="1" pivotButton="0" quotePrefix="0" xfId="0"/>
    <xf numFmtId="164" fontId="18" fillId="0" borderId="1" applyAlignment="1" pivotButton="0" quotePrefix="0" xfId="0">
      <alignment horizontal="right" vertical="center"/>
    </xf>
    <xf numFmtId="164" fontId="26" fillId="0" borderId="1" applyAlignment="1" pivotButton="0" quotePrefix="0" xfId="0">
      <alignment horizontal="right" vertical="center"/>
    </xf>
    <xf numFmtId="10" fontId="26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26" fillId="0" borderId="1" pivotButton="0" quotePrefix="0" xfId="0"/>
    <xf numFmtId="0" fontId="25" fillId="3" borderId="1" pivotButton="0" quotePrefix="0" xfId="0"/>
    <xf numFmtId="0" fontId="18" fillId="3" borderId="1" pivotButton="0" quotePrefix="0" xfId="0"/>
    <xf numFmtId="164" fontId="18" fillId="3" borderId="1" applyAlignment="1" pivotButton="0" quotePrefix="0" xfId="0">
      <alignment horizontal="right" vertical="center"/>
    </xf>
    <xf numFmtId="164" fontId="26" fillId="3" borderId="1" applyAlignment="1" pivotButton="0" quotePrefix="0" xfId="0">
      <alignment horizontal="right" vertical="center"/>
    </xf>
    <xf numFmtId="10" fontId="26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26" fillId="3" borderId="1" pivotButton="0" quotePrefix="0" xfId="0"/>
    <xf numFmtId="0" fontId="0" fillId="0" borderId="4" pivotButton="0" quotePrefix="0" xfId="0"/>
    <xf numFmtId="0" fontId="16" fillId="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1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10" fontId="2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4">
    <dxf>
      <font>
        <name val="Arial"/>
        <b val="1"/>
        <color rgb="0016A34A"/>
      </font>
    </dxf>
    <dxf>
      <font>
        <name val="Arial"/>
        <b val="1"/>
        <color rgb="00DC2626"/>
      </font>
    </dxf>
    <dxf>
      <font>
        <name val="Arial"/>
        <b val="1"/>
        <color rgb="00DC2626"/>
      </font>
      <fill>
        <patternFill patternType="solid">
          <fgColor rgb="00FEE2E2"/>
          <bgColor rgb="00FEE2E2"/>
        </patternFill>
      </fill>
    </dxf>
    <dxf>
      <font>
        <name val="Arial"/>
        <b val="1"/>
        <color rgb="00991B1B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Target vs Actual %MA รายวัน</a:t>
            </a:r>
          </a:p>
        </rich>
      </tx>
    </title>
    <plotArea>
      <lineChart>
        <grouping val="standard"/>
        <ser>
          <idx val="0"/>
          <order val="0"/>
          <tx>
            <strRef>
              <f>'RawData'!N1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'RawData'!$C$2:$C$29</f>
            </numRef>
          </cat>
          <val>
            <numRef>
              <f>'RawData'!$N$2:$N$29</f>
            </numRef>
          </val>
        </ser>
        <ser>
          <idx val="1"/>
          <order val="1"/>
          <tx>
            <strRef>
              <f>'RawData'!X1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'RawData'!$C$2:$C$29</f>
            </numRef>
          </cat>
          <val>
            <numRef>
              <f>'RawData'!$X$2:$X$29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%MA/Revenue</a:t>
                </a:r>
              </a:p>
            </rich>
          </tx>
        </title>
        <numFmt formatCode="0.0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Components: Target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v>Target (เต็มเดือน)</v>
          </tx>
          <spPr>
            <a:ln>
              <a:prstDash val="solid"/>
            </a:ln>
          </spPr>
          <cat>
            <numRef>
              <f>'Dashboard'!$C$66:$J$66</f>
            </numRef>
          </cat>
          <val>
            <numRef>
              <f>'Dashboard'!$C$68:$J$68</f>
            </numRef>
          </val>
        </ser>
        <ser>
          <idx val="1"/>
          <order val="1"/>
          <tx>
            <v>Actual (สะสมถึงปัจจุบัน)</v>
          </tx>
          <spPr>
            <a:ln>
              <a:prstDash val="solid"/>
            </a:ln>
          </spPr>
          <cat>
            <numRef>
              <f>'Dashboard'!$C$66:$J$66</f>
            </numRef>
          </cat>
          <val>
            <numRef>
              <f>'Dashboard'!$C$69:$J$69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Target vs Actual %MA รายวัน</a:t>
            </a:r>
          </a:p>
        </rich>
      </tx>
    </title>
    <plotArea>
      <lineChart>
        <grouping val="standard"/>
        <ser>
          <idx val="0"/>
          <order val="0"/>
          <tx>
            <strRef>
              <f>'RawData'!N1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'RawData'!$C$2:$C$29</f>
            </numRef>
          </cat>
          <val>
            <numRef>
              <f>'RawData'!$N$2:$N$29</f>
            </numRef>
          </val>
        </ser>
        <ser>
          <idx val="1"/>
          <order val="1"/>
          <tx>
            <strRef>
              <f>'RawData'!X1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'RawData'!$C$2:$C$29</f>
            </numRef>
          </cat>
          <val>
            <numRef>
              <f>'RawData'!$X$2:$X$29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.0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Components รายวัน Actual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'RawData'!O1</f>
            </strRef>
          </tx>
          <spPr>
            <a:ln>
              <a:prstDash val="solid"/>
            </a:ln>
          </spPr>
          <cat>
            <numRef>
              <f>'RawData'!$C$2:$C$29</f>
            </numRef>
          </cat>
          <val>
            <numRef>
              <f>'RawData'!$O$2:$O$29</f>
            </numRef>
          </val>
        </ser>
        <ser>
          <idx val="1"/>
          <order val="1"/>
          <tx>
            <strRef>
              <f>'RawData'!P1</f>
            </strRef>
          </tx>
          <spPr>
            <a:ln>
              <a:prstDash val="solid"/>
            </a:ln>
          </spPr>
          <cat>
            <numRef>
              <f>'RawData'!$C$2:$C$29</f>
            </numRef>
          </cat>
          <val>
            <numRef>
              <f>'RawData'!$P$2:$P$29</f>
            </numRef>
          </val>
        </ser>
        <ser>
          <idx val="2"/>
          <order val="2"/>
          <tx>
            <strRef>
              <f>'RawData'!Q1</f>
            </strRef>
          </tx>
          <spPr>
            <a:ln>
              <a:prstDash val="solid"/>
            </a:ln>
          </spPr>
          <cat>
            <numRef>
              <f>'RawData'!$C$2:$C$29</f>
            </numRef>
          </cat>
          <val>
            <numRef>
              <f>'RawData'!$Q$2:$Q$29</f>
            </numRef>
          </val>
        </ser>
        <ser>
          <idx val="3"/>
          <order val="3"/>
          <tx>
            <strRef>
              <f>'RawData'!R1</f>
            </strRef>
          </tx>
          <spPr>
            <a:ln>
              <a:prstDash val="solid"/>
            </a:ln>
          </spPr>
          <cat>
            <numRef>
              <f>'RawData'!$C$2:$C$29</f>
            </numRef>
          </cat>
          <val>
            <numRef>
              <f>'RawData'!$R$2:$R$29</f>
            </numRef>
          </val>
        </ser>
        <ser>
          <idx val="4"/>
          <order val="4"/>
          <tx>
            <strRef>
              <f>'RawData'!S1</f>
            </strRef>
          </tx>
          <spPr>
            <a:ln>
              <a:prstDash val="solid"/>
            </a:ln>
          </spPr>
          <cat>
            <numRef>
              <f>'RawData'!$C$2:$C$29</f>
            </numRef>
          </cat>
          <val>
            <numRef>
              <f>'RawData'!$S$2:$S$29</f>
            </numRef>
          </val>
        </ser>
        <ser>
          <idx val="5"/>
          <order val="5"/>
          <tx>
            <strRef>
              <f>'RawData'!T1</f>
            </strRef>
          </tx>
          <spPr>
            <a:ln>
              <a:prstDash val="solid"/>
            </a:ln>
          </spPr>
          <cat>
            <numRef>
              <f>'RawData'!$C$2:$C$29</f>
            </numRef>
          </cat>
          <val>
            <numRef>
              <f>'RawData'!$T$2:$T$29</f>
            </numRef>
          </val>
        </ser>
        <ser>
          <idx val="6"/>
          <order val="6"/>
          <tx>
            <strRef>
              <f>'RawData'!U1</f>
            </strRef>
          </tx>
          <spPr>
            <a:ln>
              <a:prstDash val="solid"/>
            </a:ln>
          </spPr>
          <cat>
            <numRef>
              <f>'RawData'!$C$2:$C$29</f>
            </numRef>
          </cat>
          <val>
            <numRef>
              <f>'RawData'!$U$2:$U$29</f>
            </numRef>
          </val>
        </ser>
        <ser>
          <idx val="7"/>
          <order val="7"/>
          <tx>
            <strRef>
              <f>'RawData'!V1</f>
            </strRef>
          </tx>
          <spPr>
            <a:ln>
              <a:prstDash val="solid"/>
            </a:ln>
          </spPr>
          <cat>
            <numRef>
              <f>'RawData'!$C$2:$C$29</f>
            </numRef>
          </cat>
          <val>
            <numRef>
              <f>'RawData'!$V$2:$V$29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5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18</row>
      <rowOff>0</rowOff>
    </from>
    <ext cx="55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95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115</row>
      <rowOff>0</rowOff>
    </from>
    <ext cx="86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7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0" customWidth="1" min="10" max="10"/>
    <col width="10" customWidth="1" min="11" max="11"/>
    <col width="13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8" customHeight="1">
      <c r="A1" s="1" t="inlineStr">
        <is>
          <t>📊 Daily MA Dashboard — PCRC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8" customHeight="1">
      <c r="A2" s="3">
        <f>"หน่วยงาน: PCRC    |    สัปดาห์ที่: 27–30    |    ช่วงเวลา: 29 มิถุนายน – 26 กรกฎาคม 2569"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18" customHeight="1">
      <c r="A3" s="3">
        <f>"ข้อมูล ณ วันที่: "&amp;INDEX(RawData!C2:C29,MATCH(TodayDay-1,RawData!A2:A29,0))&amp;"    |    Revenue สายธุรกิจ: ฿"&amp;TEXT(RevenueMonth,"#,##0.00")&amp;"    |    เปรียบเทียบกับ: สัปดาห์ 10–13 (มี.ค. 2569)"</f>
        <v/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5">
      <c r="A5" s="4" t="inlineStr">
        <is>
          <t>📆 สะสม (29 มิถุนายน – 26 กรกฎาคม 2569) สัปดาห์ 27–30</t>
        </is>
      </c>
      <c r="B5" s="5" t="n"/>
      <c r="C5" s="5" t="n"/>
      <c r="D5" s="5" t="n"/>
      <c r="E5" s="5" t="n"/>
      <c r="F5" s="5" t="n"/>
      <c r="G5" s="5" t="n"/>
      <c r="H5" s="5" t="n"/>
      <c r="I5" s="4">
        <f>"📅 ล่าสุด วันที่ "&amp;INDEX(RawData!C2:C29,MATCH(TodayDay-1,RawData!A2:A29,0))&amp;" (สัปดาห์ "&amp;INDEX(RawData!B2:B29,MATCH(TodayDay-1,RawData!A2:A29,0))&amp;")"</f>
        <v/>
      </c>
      <c r="J5" s="5" t="n"/>
      <c r="K5" s="5" t="n"/>
      <c r="L5" s="5" t="n"/>
      <c r="M5" s="5" t="n"/>
      <c r="N5" s="5" t="n"/>
      <c r="O5" s="5" t="n"/>
      <c r="P5" s="5" t="n"/>
    </row>
    <row r="6" ht="16" customHeight="1">
      <c r="A6" s="6" t="inlineStr">
        <is>
          <t>Revenue ของสายธุรกิจ</t>
        </is>
      </c>
      <c r="B6" s="5" t="n"/>
      <c r="C6" s="5" t="n"/>
      <c r="D6" s="5" t="n"/>
      <c r="E6" s="5" t="n"/>
      <c r="F6" s="7">
        <f>RevenueMonth</f>
        <v/>
      </c>
      <c r="G6" s="5" t="n"/>
      <c r="H6" s="5" t="n"/>
      <c r="I6" s="6" t="inlineStr">
        <is>
          <t>Revenue ของสายธุรกิจ</t>
        </is>
      </c>
      <c r="J6" s="5" t="n"/>
      <c r="K6" s="5" t="n"/>
      <c r="L6" s="5" t="n"/>
      <c r="M6" s="5" t="n"/>
      <c r="N6" s="7">
        <f>INDEX(RawData!Y2:Y29,MATCH(TodayDay-1,RawData!A2:A29,0))</f>
        <v/>
      </c>
      <c r="O6" s="5" t="n"/>
      <c r="P6" s="5" t="n"/>
    </row>
    <row r="7" ht="16" customHeight="1">
      <c r="A7" s="6" t="inlineStr">
        <is>
          <t>Gross MA Actual</t>
        </is>
      </c>
      <c r="B7" s="5" t="n"/>
      <c r="C7" s="5" t="n"/>
      <c r="D7" s="5" t="n"/>
      <c r="E7" s="5" t="n"/>
      <c r="F7" s="8">
        <f>SUM(RawData!W2:W29)</f>
        <v/>
      </c>
      <c r="G7" s="5" t="n"/>
      <c r="H7" s="5" t="n"/>
      <c r="I7" s="6" t="inlineStr">
        <is>
          <t>Gross MA Actual</t>
        </is>
      </c>
      <c r="J7" s="5" t="n"/>
      <c r="K7" s="5" t="n"/>
      <c r="L7" s="5" t="n"/>
      <c r="M7" s="5" t="n"/>
      <c r="N7" s="8">
        <f>INDEX(RawData!W2:W29,MATCH(TodayDay-1,RawData!A2:A29,0))</f>
        <v/>
      </c>
      <c r="O7" s="5" t="n"/>
      <c r="P7" s="5" t="n"/>
    </row>
    <row r="8" ht="16" customHeight="1">
      <c r="A8" s="6" t="inlineStr">
        <is>
          <t>Gross MA Target</t>
        </is>
      </c>
      <c r="B8" s="5" t="n"/>
      <c r="C8" s="5" t="n"/>
      <c r="D8" s="5" t="n"/>
      <c r="E8" s="5" t="n"/>
      <c r="F8" s="8">
        <f>SUM(RawData!M2:M29)</f>
        <v/>
      </c>
      <c r="G8" s="5" t="n"/>
      <c r="H8" s="5" t="n"/>
      <c r="I8" s="6" t="inlineStr">
        <is>
          <t>Gross MA Target</t>
        </is>
      </c>
      <c r="J8" s="5" t="n"/>
      <c r="K8" s="5" t="n"/>
      <c r="L8" s="5" t="n"/>
      <c r="M8" s="5" t="n"/>
      <c r="N8" s="8">
        <f>INDEX(RawData!M2:M29,MATCH(TodayDay-1,RawData!A2:A29,0))</f>
        <v/>
      </c>
      <c r="O8" s="5" t="n"/>
      <c r="P8" s="5" t="n"/>
    </row>
    <row r="9" ht="16" customHeight="1">
      <c r="A9" s="6" t="inlineStr">
        <is>
          <t>Gap (Actual − Target)</t>
        </is>
      </c>
      <c r="B9" s="5" t="n"/>
      <c r="C9" s="5" t="n"/>
      <c r="D9" s="5" t="n"/>
      <c r="E9" s="5" t="n"/>
      <c r="F9" s="9">
        <f>F7-F8</f>
        <v/>
      </c>
      <c r="G9" s="5" t="n"/>
      <c r="H9" s="5" t="n"/>
      <c r="I9" s="6" t="inlineStr">
        <is>
          <t>Gap (Actual − Target)</t>
        </is>
      </c>
      <c r="J9" s="5" t="n"/>
      <c r="K9" s="5" t="n"/>
      <c r="L9" s="5" t="n"/>
      <c r="M9" s="5" t="n"/>
      <c r="N9" s="9">
        <f>N7-N8</f>
        <v/>
      </c>
      <c r="O9" s="5" t="n"/>
      <c r="P9" s="5" t="n"/>
    </row>
    <row r="10" ht="16" customHeight="1">
      <c r="A10" s="6" t="inlineStr">
        <is>
          <t>%MA/Revenue Actual</t>
        </is>
      </c>
      <c r="B10" s="5" t="n"/>
      <c r="C10" s="5" t="n"/>
      <c r="D10" s="5" t="n"/>
      <c r="E10" s="5" t="n"/>
      <c r="F10" s="10">
        <f>F7/F6</f>
        <v/>
      </c>
      <c r="G10" s="5" t="n"/>
      <c r="H10" s="5" t="n"/>
      <c r="I10" s="6" t="inlineStr">
        <is>
          <t>%MA/Revenue Actual</t>
        </is>
      </c>
      <c r="J10" s="5" t="n"/>
      <c r="K10" s="5" t="n"/>
      <c r="L10" s="5" t="n"/>
      <c r="M10" s="5" t="n"/>
      <c r="N10" s="10">
        <f>N7/N6</f>
        <v/>
      </c>
      <c r="O10" s="5" t="n"/>
      <c r="P10" s="5" t="n"/>
    </row>
    <row r="11" ht="16" customHeight="1">
      <c r="A11" s="6" t="inlineStr">
        <is>
          <t>%MA/Revenue Target</t>
        </is>
      </c>
      <c r="B11" s="5" t="n"/>
      <c r="C11" s="5" t="n"/>
      <c r="D11" s="5" t="n"/>
      <c r="E11" s="5" t="n"/>
      <c r="F11" s="10">
        <f>F8/F6</f>
        <v/>
      </c>
      <c r="G11" s="5" t="n"/>
      <c r="H11" s="5" t="n"/>
      <c r="I11" s="6" t="inlineStr">
        <is>
          <t>%MA/Revenue Target</t>
        </is>
      </c>
      <c r="J11" s="5" t="n"/>
      <c r="K11" s="5" t="n"/>
      <c r="L11" s="5" t="n"/>
      <c r="M11" s="5" t="n"/>
      <c r="N11" s="10">
        <f>N8/N6</f>
        <v/>
      </c>
      <c r="O11" s="5" t="n"/>
      <c r="P11" s="5" t="n"/>
    </row>
    <row r="13" ht="16" customHeight="1">
      <c r="A13" s="11" t="inlineStr">
        <is>
          <t>Incentive ประจำวัน (บาท)</t>
        </is>
      </c>
      <c r="B13" s="12" t="n"/>
      <c r="C13" s="12" t="n"/>
      <c r="D13" s="11" t="inlineStr">
        <is>
          <t>Gross MA รายเดือน (บาท)</t>
        </is>
      </c>
      <c r="E13" s="12" t="n"/>
      <c r="F13" s="12" t="n"/>
      <c r="G13" s="11" t="inlineStr">
        <is>
          <t>Daily Gross MA วันล่าสุด (บาท)</t>
        </is>
      </c>
      <c r="H13" s="12" t="n"/>
      <c r="I13" s="12" t="n"/>
      <c r="J13" s="11" t="inlineStr">
        <is>
          <t>%MA/Revenue วันล่าสุด</t>
        </is>
      </c>
      <c r="K13" s="12" t="n"/>
      <c r="L13" s="12" t="n"/>
      <c r="M13" s="11" t="inlineStr">
        <is>
          <t>%MA/Revenue สะสมเดือน</t>
        </is>
      </c>
      <c r="N13" s="12" t="n"/>
      <c r="O13" s="12" t="n"/>
      <c r="P13" s="12" t="n"/>
    </row>
    <row r="14" ht="26" customHeight="1">
      <c r="A14" s="13">
        <f>IncentiveActual</f>
        <v/>
      </c>
      <c r="B14" s="5" t="n"/>
      <c r="C14" s="5" t="n"/>
      <c r="D14" s="13">
        <f>SUM(RawData!W2:W29)</f>
        <v/>
      </c>
      <c r="E14" s="5" t="n"/>
      <c r="F14" s="5" t="n"/>
      <c r="G14" s="13">
        <f>INDEX(RawData!W2:W29,MATCH(TodayDay-1,RawData!A2:A29,0))</f>
        <v/>
      </c>
      <c r="H14" s="5" t="n"/>
      <c r="I14" s="5" t="n"/>
      <c r="J14" s="14">
        <f>INDEX(RawData!W2:W29,MATCH(TodayDay-1,RawData!A2:A29,0))/INDEX(RawData!Y2:Y29,MATCH(TodayDay-1,RawData!A2:A29,0))</f>
        <v/>
      </c>
      <c r="K14" s="5" t="n"/>
      <c r="L14" s="5" t="n"/>
      <c r="M14" s="14">
        <f>SUM(RawData!W2:W29)/RevenueMonth</f>
        <v/>
      </c>
      <c r="N14" s="5" t="n"/>
      <c r="O14" s="5" t="n"/>
      <c r="P14" s="5" t="n"/>
    </row>
    <row r="15" ht="16" customHeight="1">
      <c r="A15" s="15">
        <f>IncentiveTarget</f>
        <v/>
      </c>
      <c r="B15" s="5" t="n"/>
      <c r="C15" s="5" t="n"/>
      <c r="D15" s="15">
        <f>SUM(RawData!M2:M29)</f>
        <v/>
      </c>
      <c r="E15" s="5" t="n"/>
      <c r="F15" s="5" t="n"/>
      <c r="G15" s="15">
        <f>INDEX(RawData!M2:M29,MATCH(TodayDay-1,RawData!A2:A29,0))</f>
        <v/>
      </c>
      <c r="H15" s="5" t="n"/>
      <c r="I15" s="5" t="n"/>
      <c r="J15" s="16">
        <f>INDEX(RawData!M2:M29,MATCH(TodayDay-1,RawData!A2:A29,0))/INDEX(RawData!Y2:Y29,MATCH(TodayDay-1,RawData!A2:A29,0))</f>
        <v/>
      </c>
      <c r="K15" s="5" t="n"/>
      <c r="L15" s="5" t="n"/>
      <c r="M15" s="16">
        <f>SUM(RawData!M2:M29)/RevenueMonth</f>
        <v/>
      </c>
      <c r="N15" s="5" t="n"/>
      <c r="O15" s="5" t="n"/>
      <c r="P15" s="5" t="n"/>
    </row>
    <row r="16" ht="16" customHeight="1">
      <c r="A16" s="17">
        <f>IF((A14-A15)&gt;=0,"▲ + ดีกว่า Target "&amp;TEXT(ABS(A14-A15),"#,##0"),"▼ - แย่กว่า Target "&amp;TEXT(ABS(A14-A15),"#,##0"))</f>
        <v/>
      </c>
      <c r="B16" s="18" t="n"/>
      <c r="C16" s="18" t="n"/>
      <c r="D16" s="17">
        <f>IF((D14-D15)&gt;=0,"▲ + ดีกว่า Target "&amp;TEXT(ABS(D14-D15),"#,##0"),"▼ - แย่กว่า Target "&amp;TEXT(ABS(D14-D15),"#,##0"))</f>
        <v/>
      </c>
      <c r="E16" s="18" t="n"/>
      <c r="F16" s="18" t="n"/>
      <c r="G16" s="17">
        <f>IF((G14-G15)&gt;=0,"▲ + ดีกว่า Target "&amp;TEXT(ABS(G14-G15),"#,##0"),"▼ - แย่กว่า Target "&amp;TEXT(ABS(G14-G15),"#,##0"))</f>
        <v/>
      </c>
      <c r="H16" s="18" t="n"/>
      <c r="I16" s="18" t="n"/>
      <c r="J16" s="17">
        <f>IF((J14-J15)&gt;=0,"▲ + ดีกว่า Target "&amp;TEXT(ABS(J14-J15),"0.00%"),"▼ - แย่กว่า Target "&amp;TEXT(ABS(J14-J15),"0.00%"))</f>
        <v/>
      </c>
      <c r="K16" s="18" t="n"/>
      <c r="L16" s="18" t="n"/>
      <c r="M16" s="17">
        <f>IF((M14-M15)&gt;=0,"▲ + ดีกว่า Target "&amp;TEXT(ABS(M14-M15),"0.00%"),"▼ - แย่กว่า Target "&amp;TEXT(ABS(M14-M15),"0.00%"))</f>
        <v/>
      </c>
      <c r="N16" s="18" t="n"/>
      <c r="O16" s="18" t="n"/>
      <c r="P16" s="18" t="n"/>
    </row>
    <row r="18">
      <c r="A18" s="19" t="inlineStr">
        <is>
          <t>📈 Target vs Actual %MA รายวัน</t>
        </is>
      </c>
      <c r="B18" s="20" t="n"/>
      <c r="C18" s="20" t="n"/>
      <c r="D18" s="20" t="n"/>
      <c r="E18" s="20" t="n"/>
      <c r="F18" s="20" t="n"/>
      <c r="G18" s="20" t="n"/>
      <c r="H18" s="20" t="n"/>
      <c r="I18" s="19" t="inlineStr">
        <is>
          <t>📊 Components สะสม (Target vs Actual)</t>
        </is>
      </c>
      <c r="J18" s="20" t="n"/>
      <c r="K18" s="20" t="n"/>
      <c r="L18" s="20" t="n"/>
      <c r="M18" s="20" t="n"/>
      <c r="N18" s="20" t="n"/>
      <c r="O18" s="20" t="n"/>
      <c r="P18" s="20" t="n"/>
    </row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8">
      <c r="A38" s="21">
        <f>"Breakdown รายสายธุรกิจ (สะสม "&amp;RawData!C2&amp;"–"&amp;INDEX(RawData!C2:C29,MATCH(TodayDay-1,RawData!A2:A29,0))&amp;")"</f>
        <v/>
      </c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</row>
    <row r="39" ht="16" customHeight="1">
      <c r="A39" s="11" t="inlineStr">
        <is>
          <t>JRTS</t>
        </is>
      </c>
      <c r="B39" s="12" t="n"/>
      <c r="C39" s="12" t="n"/>
      <c r="D39" s="12" t="n"/>
      <c r="E39" s="11" t="inlineStr">
        <is>
          <t>Association Product</t>
        </is>
      </c>
      <c r="F39" s="12" t="n"/>
      <c r="G39" s="12" t="n"/>
      <c r="H39" s="12" t="n"/>
      <c r="I39" s="11" t="inlineStr">
        <is>
          <t>Association Refer</t>
        </is>
      </c>
      <c r="J39" s="12" t="n"/>
      <c r="K39" s="12" t="n"/>
      <c r="L39" s="12" t="n"/>
      <c r="M39" s="11" t="inlineStr">
        <is>
          <t>Reciprocation</t>
        </is>
      </c>
      <c r="N39" s="12" t="n"/>
      <c r="O39" s="12" t="n"/>
      <c r="P39" s="12" t="n"/>
    </row>
    <row r="40" ht="22" customHeight="1">
      <c r="A40" s="22">
        <f>SUMIFS(RawData!O2:O29,RawData!A2:A29,"&lt;"&amp;TodayDay)</f>
        <v/>
      </c>
      <c r="B40" s="5" t="n"/>
      <c r="C40" s="5" t="n"/>
      <c r="D40" s="5" t="n"/>
      <c r="E40" s="22">
        <f>SUMIFS(RawData!P2:P29,RawData!A2:A29,"&lt;"&amp;TodayDay)</f>
        <v/>
      </c>
      <c r="F40" s="5" t="n"/>
      <c r="G40" s="5" t="n"/>
      <c r="H40" s="5" t="n"/>
      <c r="I40" s="22">
        <f>SUMIFS(RawData!Q2:Q29,RawData!A2:A29,"&lt;"&amp;TodayDay)</f>
        <v/>
      </c>
      <c r="J40" s="5" t="n"/>
      <c r="K40" s="5" t="n"/>
      <c r="L40" s="5" t="n"/>
      <c r="M40" s="22">
        <f>SUMIFS(RawData!R2:R29,RawData!A2:A29,"&lt;"&amp;TodayDay)</f>
        <v/>
      </c>
      <c r="N40" s="5" t="n"/>
      <c r="O40" s="5" t="n"/>
      <c r="P40" s="5" t="n"/>
    </row>
    <row r="41" ht="14" customHeight="1">
      <c r="A41" s="23">
        <f>SUMIFS(RawData!E2:E29,RawData!A2:A29,"&lt;"&amp;TodayDay)</f>
        <v/>
      </c>
      <c r="B41" s="5" t="n"/>
      <c r="C41" s="5" t="n"/>
      <c r="D41" s="5" t="n"/>
      <c r="E41" s="23">
        <f>SUMIFS(RawData!F2:F29,RawData!A2:A29,"&lt;"&amp;TodayDay)</f>
        <v/>
      </c>
      <c r="F41" s="5" t="n"/>
      <c r="G41" s="5" t="n"/>
      <c r="H41" s="5" t="n"/>
      <c r="I41" s="23">
        <f>SUMIFS(RawData!G2:G29,RawData!A2:A29,"&lt;"&amp;TodayDay)</f>
        <v/>
      </c>
      <c r="J41" s="5" t="n"/>
      <c r="K41" s="5" t="n"/>
      <c r="L41" s="5" t="n"/>
      <c r="M41" s="23">
        <f>SUMIFS(RawData!H2:H29,RawData!A2:A29,"&lt;"&amp;TodayDay)</f>
        <v/>
      </c>
      <c r="N41" s="5" t="n"/>
      <c r="O41" s="5" t="n"/>
      <c r="P41" s="5" t="n"/>
    </row>
    <row r="42" ht="16" customHeight="1">
      <c r="A42" s="17">
        <f>IF((A40-A41)&gt;=0,"▲ +"&amp;TEXT(ABS(A40-A41),"#,##0.00"),"▼ "&amp;TEXT(ABS(A40-A41),"#,##0.00"))</f>
        <v/>
      </c>
      <c r="B42" s="18" t="n"/>
      <c r="C42" s="18" t="n"/>
      <c r="D42" s="18" t="n"/>
      <c r="E42" s="17">
        <f>IF((E40-E41)&gt;=0,"▲ +"&amp;TEXT(ABS(E40-E41),"#,##0.00"),"▼ "&amp;TEXT(ABS(E40-E41),"#,##0.00"))</f>
        <v/>
      </c>
      <c r="F42" s="18" t="n"/>
      <c r="G42" s="18" t="n"/>
      <c r="H42" s="18" t="n"/>
      <c r="I42" s="17">
        <f>IF((I40-I41)&gt;=0,"▲ +"&amp;TEXT(ABS(I40-I41),"#,##0.00"),"▼ "&amp;TEXT(ABS(I40-I41),"#,##0.00"))</f>
        <v/>
      </c>
      <c r="J42" s="18" t="n"/>
      <c r="K42" s="18" t="n"/>
      <c r="L42" s="18" t="n"/>
      <c r="M42" s="17">
        <f>IF((M40-M41)&gt;=0,"▲ +"&amp;TEXT(ABS(M40-M41),"#,##0.00"),"▼ "&amp;TEXT(ABS(M40-M41),"#,##0.00"))</f>
        <v/>
      </c>
      <c r="N42" s="18" t="n"/>
      <c r="O42" s="18" t="n"/>
      <c r="P42" s="18" t="n"/>
    </row>
    <row r="43" ht="16" customHeight="1">
      <c r="A43" s="11" t="inlineStr">
        <is>
          <t>Shop Online 1</t>
        </is>
      </c>
      <c r="B43" s="12" t="n"/>
      <c r="C43" s="12" t="n"/>
      <c r="D43" s="12" t="n"/>
      <c r="E43" s="11" t="inlineStr">
        <is>
          <t>Shop Online 2</t>
        </is>
      </c>
      <c r="F43" s="12" t="n"/>
      <c r="G43" s="12" t="n"/>
      <c r="H43" s="12" t="n"/>
      <c r="I43" s="11" t="inlineStr">
        <is>
          <t>Project</t>
        </is>
      </c>
      <c r="J43" s="12" t="n"/>
      <c r="K43" s="12" t="n"/>
      <c r="L43" s="12" t="n"/>
      <c r="M43" s="11" t="inlineStr">
        <is>
          <t>Service</t>
        </is>
      </c>
      <c r="N43" s="12" t="n"/>
      <c r="O43" s="12" t="n"/>
      <c r="P43" s="12" t="n"/>
    </row>
    <row r="44" ht="22" customHeight="1">
      <c r="A44" s="22">
        <f>SUMIFS(RawData!S2:S29,RawData!A2:A29,"&lt;"&amp;TodayDay)</f>
        <v/>
      </c>
      <c r="B44" s="5" t="n"/>
      <c r="C44" s="5" t="n"/>
      <c r="D44" s="5" t="n"/>
      <c r="E44" s="22">
        <f>SUMIFS(RawData!T2:T29,RawData!A2:A29,"&lt;"&amp;TodayDay)</f>
        <v/>
      </c>
      <c r="F44" s="5" t="n"/>
      <c r="G44" s="5" t="n"/>
      <c r="H44" s="5" t="n"/>
      <c r="I44" s="22">
        <f>SUMIFS(RawData!U2:U29,RawData!A2:A29,"&lt;"&amp;TodayDay)</f>
        <v/>
      </c>
      <c r="J44" s="5" t="n"/>
      <c r="K44" s="5" t="n"/>
      <c r="L44" s="5" t="n"/>
      <c r="M44" s="22">
        <f>SUMIFS(RawData!V2:V29,RawData!A2:A29,"&lt;"&amp;TodayDay)</f>
        <v/>
      </c>
      <c r="N44" s="5" t="n"/>
      <c r="O44" s="5" t="n"/>
      <c r="P44" s="5" t="n"/>
    </row>
    <row r="45" ht="14" customHeight="1">
      <c r="A45" s="23">
        <f>SUMIFS(RawData!I2:I29,RawData!A2:A29,"&lt;"&amp;TodayDay)</f>
        <v/>
      </c>
      <c r="B45" s="5" t="n"/>
      <c r="C45" s="5" t="n"/>
      <c r="D45" s="5" t="n"/>
      <c r="E45" s="23">
        <f>SUMIFS(RawData!J2:J29,RawData!A2:A29,"&lt;"&amp;TodayDay)</f>
        <v/>
      </c>
      <c r="F45" s="5" t="n"/>
      <c r="G45" s="5" t="n"/>
      <c r="H45" s="5" t="n"/>
      <c r="I45" s="23">
        <f>SUMIFS(RawData!K2:K29,RawData!A2:A29,"&lt;"&amp;TodayDay)</f>
        <v/>
      </c>
      <c r="J45" s="5" t="n"/>
      <c r="K45" s="5" t="n"/>
      <c r="L45" s="5" t="n"/>
      <c r="M45" s="23">
        <f>SUMIFS(RawData!L2:L29,RawData!A2:A29,"&lt;"&amp;TodayDay)</f>
        <v/>
      </c>
      <c r="N45" s="5" t="n"/>
      <c r="O45" s="5" t="n"/>
      <c r="P45" s="5" t="n"/>
    </row>
    <row r="46" ht="16" customHeight="1">
      <c r="A46" s="17">
        <f>IF((A44-A45)&gt;=0,"▲ +"&amp;TEXT(ABS(A44-A45),"#,##0.00"),"▼ "&amp;TEXT(ABS(A44-A45),"#,##0.00"))</f>
        <v/>
      </c>
      <c r="B46" s="18" t="n"/>
      <c r="C46" s="18" t="n"/>
      <c r="D46" s="18" t="n"/>
      <c r="E46" s="17">
        <f>IF((E44-E45)&gt;=0,"▲ +"&amp;TEXT(ABS(E44-E45),"#,##0.00"),"▼ "&amp;TEXT(ABS(E44-E45),"#,##0.00"))</f>
        <v/>
      </c>
      <c r="F46" s="18" t="n"/>
      <c r="G46" s="18" t="n"/>
      <c r="H46" s="18" t="n"/>
      <c r="I46" s="17">
        <f>IF((I44-I45)&gt;=0,"▲ +"&amp;TEXT(ABS(I44-I45),"#,##0.00"),"▼ "&amp;TEXT(ABS(I44-I45),"#,##0.00"))</f>
        <v/>
      </c>
      <c r="J46" s="18" t="n"/>
      <c r="K46" s="18" t="n"/>
      <c r="L46" s="18" t="n"/>
      <c r="M46" s="17">
        <f>IF((M44-M45)&gt;=0,"▲ +"&amp;TEXT(ABS(M44-M45),"#,##0.00"),"▼ "&amp;TEXT(ABS(M44-M45),"#,##0.00"))</f>
        <v/>
      </c>
      <c r="N46" s="18" t="n"/>
      <c r="O46" s="18" t="n"/>
      <c r="P46" s="18" t="n"/>
    </row>
    <row r="49">
      <c r="A49" s="21" t="inlineStr">
        <is>
          <t>ตารางสรุปรายสัปดาห์</t>
        </is>
      </c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</row>
    <row r="50">
      <c r="A50" s="24" t="inlineStr">
        <is>
          <t>สัปดาห์</t>
        </is>
      </c>
      <c r="B50" s="24" t="inlineStr">
        <is>
          <t>ช่วงวันที่</t>
        </is>
      </c>
      <c r="C50" s="24" t="inlineStr">
        <is>
          <t>ประเภท</t>
        </is>
      </c>
      <c r="D50" s="24" t="inlineStr">
        <is>
          <t>JRTS</t>
        </is>
      </c>
      <c r="E50" s="24" t="inlineStr">
        <is>
          <t>Association Product</t>
        </is>
      </c>
      <c r="F50" s="24" t="inlineStr">
        <is>
          <t>Association Refer</t>
        </is>
      </c>
      <c r="G50" s="24" t="inlineStr">
        <is>
          <t>Reciprocation</t>
        </is>
      </c>
      <c r="H50" s="24" t="inlineStr">
        <is>
          <t>Shop Online 1</t>
        </is>
      </c>
      <c r="I50" s="24" t="inlineStr">
        <is>
          <t>Shop Online 2</t>
        </is>
      </c>
      <c r="J50" s="24" t="inlineStr">
        <is>
          <t>Project</t>
        </is>
      </c>
      <c r="K50" s="24" t="inlineStr">
        <is>
          <t>Service</t>
        </is>
      </c>
      <c r="L50" s="24" t="inlineStr">
        <is>
          <t>Total</t>
        </is>
      </c>
      <c r="M50" s="24" t="inlineStr">
        <is>
          <t>%MA/Rev</t>
        </is>
      </c>
    </row>
    <row r="51">
      <c r="A51" s="25" t="n">
        <v>27</v>
      </c>
      <c r="B51" s="26" t="inlineStr">
        <is>
          <t>29 มิ.ย.–5 ก.ค.</t>
        </is>
      </c>
      <c r="C51" s="27" t="inlineStr">
        <is>
          <t>Target</t>
        </is>
      </c>
      <c r="D51" s="28">
        <f>SUMIFS(RawData!E2:E29,RawData!B2:B29,27)</f>
        <v/>
      </c>
      <c r="E51" s="28">
        <f>SUMIFS(RawData!F2:F29,RawData!B2:B29,27)</f>
        <v/>
      </c>
      <c r="F51" s="28">
        <f>SUMIFS(RawData!G2:G29,RawData!B2:B29,27)</f>
        <v/>
      </c>
      <c r="G51" s="28">
        <f>SUMIFS(RawData!H2:H29,RawData!B2:B29,27)</f>
        <v/>
      </c>
      <c r="H51" s="28">
        <f>SUMIFS(RawData!I2:I29,RawData!B2:B29,27)</f>
        <v/>
      </c>
      <c r="I51" s="28">
        <f>SUMIFS(RawData!J2:J29,RawData!B2:B29,27)</f>
        <v/>
      </c>
      <c r="J51" s="28">
        <f>SUMIFS(RawData!K2:K29,RawData!B2:B29,27)</f>
        <v/>
      </c>
      <c r="K51" s="28">
        <f>SUMIFS(RawData!L2:L29,RawData!B2:B29,27)</f>
        <v/>
      </c>
      <c r="L51" s="28">
        <f>SUMIFS(RawData!M2:M29,RawData!B2:B29,27)</f>
        <v/>
      </c>
      <c r="M51" s="29">
        <f>AVERAGEIFS(RawData!N2:N29,RawData!B2:B29,27)</f>
        <v/>
      </c>
    </row>
    <row r="52">
      <c r="A52" s="30" t="n"/>
      <c r="B52" s="30" t="n"/>
      <c r="C52" s="31" t="inlineStr">
        <is>
          <t>Actual</t>
        </is>
      </c>
      <c r="D52" s="32">
        <f>SUMIFS(RawData!O2:O29,RawData!B2:B29,27)</f>
        <v/>
      </c>
      <c r="E52" s="32">
        <f>SUMIFS(RawData!P2:P29,RawData!B2:B29,27)</f>
        <v/>
      </c>
      <c r="F52" s="32">
        <f>SUMIFS(RawData!Q2:Q29,RawData!B2:B29,27)</f>
        <v/>
      </c>
      <c r="G52" s="32">
        <f>SUMIFS(RawData!R2:R29,RawData!B2:B29,27)</f>
        <v/>
      </c>
      <c r="H52" s="32">
        <f>SUMIFS(RawData!S2:S29,RawData!B2:B29,27)</f>
        <v/>
      </c>
      <c r="I52" s="32">
        <f>SUMIFS(RawData!T2:T29,RawData!B2:B29,27)</f>
        <v/>
      </c>
      <c r="J52" s="32">
        <f>SUMIFS(RawData!U2:U29,RawData!B2:B29,27)</f>
        <v/>
      </c>
      <c r="K52" s="32">
        <f>SUMIFS(RawData!V2:V29,RawData!B2:B29,27)</f>
        <v/>
      </c>
      <c r="L52" s="32">
        <f>SUMIFS(RawData!W2:W29,RawData!B2:B29,27)</f>
        <v/>
      </c>
      <c r="M52" s="33">
        <f>AVERAGEIFS(RawData!X2:X29,RawData!B2:B29,27)</f>
        <v/>
      </c>
    </row>
    <row r="53">
      <c r="A53" s="30" t="n"/>
      <c r="B53" s="30" t="n"/>
      <c r="C53" s="34" t="inlineStr">
        <is>
          <t>Gap</t>
        </is>
      </c>
      <c r="D53" s="32">
        <f>D52-D51</f>
        <v/>
      </c>
      <c r="E53" s="32">
        <f>E52-E51</f>
        <v/>
      </c>
      <c r="F53" s="32">
        <f>F52-F51</f>
        <v/>
      </c>
      <c r="G53" s="32">
        <f>G52-G51</f>
        <v/>
      </c>
      <c r="H53" s="32">
        <f>H52-H51</f>
        <v/>
      </c>
      <c r="I53" s="32">
        <f>I52-I51</f>
        <v/>
      </c>
      <c r="J53" s="32">
        <f>J52-J51</f>
        <v/>
      </c>
      <c r="K53" s="32">
        <f>K52-K51</f>
        <v/>
      </c>
      <c r="L53" s="32">
        <f>L52-L51</f>
        <v/>
      </c>
      <c r="M53" s="33">
        <f>M52-M51</f>
        <v/>
      </c>
    </row>
    <row r="54">
      <c r="A54" s="25" t="n">
        <v>28</v>
      </c>
      <c r="B54" s="26" t="inlineStr">
        <is>
          <t>6–12 ก.ค.</t>
        </is>
      </c>
      <c r="C54" s="27" t="inlineStr">
        <is>
          <t>Target</t>
        </is>
      </c>
      <c r="D54" s="28">
        <f>SUMIFS(RawData!E2:E29,RawData!B2:B29,28)</f>
        <v/>
      </c>
      <c r="E54" s="28">
        <f>SUMIFS(RawData!F2:F29,RawData!B2:B29,28)</f>
        <v/>
      </c>
      <c r="F54" s="28">
        <f>SUMIFS(RawData!G2:G29,RawData!B2:B29,28)</f>
        <v/>
      </c>
      <c r="G54" s="28">
        <f>SUMIFS(RawData!H2:H29,RawData!B2:B29,28)</f>
        <v/>
      </c>
      <c r="H54" s="28">
        <f>SUMIFS(RawData!I2:I29,RawData!B2:B29,28)</f>
        <v/>
      </c>
      <c r="I54" s="28">
        <f>SUMIFS(RawData!J2:J29,RawData!B2:B29,28)</f>
        <v/>
      </c>
      <c r="J54" s="28">
        <f>SUMIFS(RawData!K2:K29,RawData!B2:B29,28)</f>
        <v/>
      </c>
      <c r="K54" s="28">
        <f>SUMIFS(RawData!L2:L29,RawData!B2:B29,28)</f>
        <v/>
      </c>
      <c r="L54" s="28">
        <f>SUMIFS(RawData!M2:M29,RawData!B2:B29,28)</f>
        <v/>
      </c>
      <c r="M54" s="29">
        <f>AVERAGEIFS(RawData!N2:N29,RawData!B2:B29,28)</f>
        <v/>
      </c>
    </row>
    <row r="55">
      <c r="A55" s="30" t="n"/>
      <c r="B55" s="30" t="n"/>
      <c r="C55" s="31" t="inlineStr">
        <is>
          <t>Actual</t>
        </is>
      </c>
      <c r="D55" s="32">
        <f>SUMIFS(RawData!O2:O29,RawData!B2:B29,28)</f>
        <v/>
      </c>
      <c r="E55" s="32">
        <f>SUMIFS(RawData!P2:P29,RawData!B2:B29,28)</f>
        <v/>
      </c>
      <c r="F55" s="32">
        <f>SUMIFS(RawData!Q2:Q29,RawData!B2:B29,28)</f>
        <v/>
      </c>
      <c r="G55" s="32">
        <f>SUMIFS(RawData!R2:R29,RawData!B2:B29,28)</f>
        <v/>
      </c>
      <c r="H55" s="32">
        <f>SUMIFS(RawData!S2:S29,RawData!B2:B29,28)</f>
        <v/>
      </c>
      <c r="I55" s="32">
        <f>SUMIFS(RawData!T2:T29,RawData!B2:B29,28)</f>
        <v/>
      </c>
      <c r="J55" s="32">
        <f>SUMIFS(RawData!U2:U29,RawData!B2:B29,28)</f>
        <v/>
      </c>
      <c r="K55" s="32">
        <f>SUMIFS(RawData!V2:V29,RawData!B2:B29,28)</f>
        <v/>
      </c>
      <c r="L55" s="32">
        <f>SUMIFS(RawData!W2:W29,RawData!B2:B29,28)</f>
        <v/>
      </c>
      <c r="M55" s="33">
        <f>AVERAGEIFS(RawData!X2:X29,RawData!B2:B29,28)</f>
        <v/>
      </c>
    </row>
    <row r="56">
      <c r="A56" s="30" t="n"/>
      <c r="B56" s="30" t="n"/>
      <c r="C56" s="34" t="inlineStr">
        <is>
          <t>Gap</t>
        </is>
      </c>
      <c r="D56" s="32">
        <f>D55-D54</f>
        <v/>
      </c>
      <c r="E56" s="32">
        <f>E55-E54</f>
        <v/>
      </c>
      <c r="F56" s="32">
        <f>F55-F54</f>
        <v/>
      </c>
      <c r="G56" s="32">
        <f>G55-G54</f>
        <v/>
      </c>
      <c r="H56" s="32">
        <f>H55-H54</f>
        <v/>
      </c>
      <c r="I56" s="32">
        <f>I55-I54</f>
        <v/>
      </c>
      <c r="J56" s="32">
        <f>J55-J54</f>
        <v/>
      </c>
      <c r="K56" s="32">
        <f>K55-K54</f>
        <v/>
      </c>
      <c r="L56" s="32">
        <f>L55-L54</f>
        <v/>
      </c>
      <c r="M56" s="33">
        <f>M55-M54</f>
        <v/>
      </c>
    </row>
    <row r="57">
      <c r="A57" s="25" t="n">
        <v>29</v>
      </c>
      <c r="B57" s="26" t="inlineStr">
        <is>
          <t>13–19 ก.ค.</t>
        </is>
      </c>
      <c r="C57" s="27" t="inlineStr">
        <is>
          <t>Target</t>
        </is>
      </c>
      <c r="D57" s="28">
        <f>SUMIFS(RawData!E2:E29,RawData!B2:B29,29)</f>
        <v/>
      </c>
      <c r="E57" s="28">
        <f>SUMIFS(RawData!F2:F29,RawData!B2:B29,29)</f>
        <v/>
      </c>
      <c r="F57" s="28">
        <f>SUMIFS(RawData!G2:G29,RawData!B2:B29,29)</f>
        <v/>
      </c>
      <c r="G57" s="28">
        <f>SUMIFS(RawData!H2:H29,RawData!B2:B29,29)</f>
        <v/>
      </c>
      <c r="H57" s="28">
        <f>SUMIFS(RawData!I2:I29,RawData!B2:B29,29)</f>
        <v/>
      </c>
      <c r="I57" s="28">
        <f>SUMIFS(RawData!J2:J29,RawData!B2:B29,29)</f>
        <v/>
      </c>
      <c r="J57" s="28">
        <f>SUMIFS(RawData!K2:K29,RawData!B2:B29,29)</f>
        <v/>
      </c>
      <c r="K57" s="28">
        <f>SUMIFS(RawData!L2:L29,RawData!B2:B29,29)</f>
        <v/>
      </c>
      <c r="L57" s="28">
        <f>SUMIFS(RawData!M2:M29,RawData!B2:B29,29)</f>
        <v/>
      </c>
      <c r="M57" s="29">
        <f>AVERAGEIFS(RawData!N2:N29,RawData!B2:B29,29)</f>
        <v/>
      </c>
    </row>
    <row r="58">
      <c r="A58" s="30" t="n"/>
      <c r="B58" s="30" t="n"/>
      <c r="C58" s="31" t="inlineStr">
        <is>
          <t>Actual</t>
        </is>
      </c>
      <c r="D58" s="32">
        <f>SUMIFS(RawData!O2:O29,RawData!B2:B29,29)</f>
        <v/>
      </c>
      <c r="E58" s="32">
        <f>SUMIFS(RawData!P2:P29,RawData!B2:B29,29)</f>
        <v/>
      </c>
      <c r="F58" s="32">
        <f>SUMIFS(RawData!Q2:Q29,RawData!B2:B29,29)</f>
        <v/>
      </c>
      <c r="G58" s="32">
        <f>SUMIFS(RawData!R2:R29,RawData!B2:B29,29)</f>
        <v/>
      </c>
      <c r="H58" s="32">
        <f>SUMIFS(RawData!S2:S29,RawData!B2:B29,29)</f>
        <v/>
      </c>
      <c r="I58" s="32">
        <f>SUMIFS(RawData!T2:T29,RawData!B2:B29,29)</f>
        <v/>
      </c>
      <c r="J58" s="32">
        <f>SUMIFS(RawData!U2:U29,RawData!B2:B29,29)</f>
        <v/>
      </c>
      <c r="K58" s="32">
        <f>SUMIFS(RawData!V2:V29,RawData!B2:B29,29)</f>
        <v/>
      </c>
      <c r="L58" s="32">
        <f>SUMIFS(RawData!W2:W29,RawData!B2:B29,29)</f>
        <v/>
      </c>
      <c r="M58" s="33">
        <f>AVERAGEIFS(RawData!X2:X29,RawData!B2:B29,29)</f>
        <v/>
      </c>
    </row>
    <row r="59">
      <c r="A59" s="30" t="n"/>
      <c r="B59" s="30" t="n"/>
      <c r="C59" s="34" t="inlineStr">
        <is>
          <t>Gap</t>
        </is>
      </c>
      <c r="D59" s="32">
        <f>D58-D57</f>
        <v/>
      </c>
      <c r="E59" s="32">
        <f>E58-E57</f>
        <v/>
      </c>
      <c r="F59" s="32">
        <f>F58-F57</f>
        <v/>
      </c>
      <c r="G59" s="32">
        <f>G58-G57</f>
        <v/>
      </c>
      <c r="H59" s="32">
        <f>H58-H57</f>
        <v/>
      </c>
      <c r="I59" s="32">
        <f>I58-I57</f>
        <v/>
      </c>
      <c r="J59" s="32">
        <f>J58-J57</f>
        <v/>
      </c>
      <c r="K59" s="32">
        <f>K58-K57</f>
        <v/>
      </c>
      <c r="L59" s="32">
        <f>L58-L57</f>
        <v/>
      </c>
      <c r="M59" s="33">
        <f>M58-M57</f>
        <v/>
      </c>
    </row>
    <row r="60">
      <c r="A60" s="25" t="n">
        <v>30</v>
      </c>
      <c r="B60" s="26" t="inlineStr">
        <is>
          <t>20–26 ก.ค.</t>
        </is>
      </c>
      <c r="C60" s="27" t="inlineStr">
        <is>
          <t>Target</t>
        </is>
      </c>
      <c r="D60" s="28">
        <f>SUMIFS(RawData!E2:E29,RawData!B2:B29,30)</f>
        <v/>
      </c>
      <c r="E60" s="28">
        <f>SUMIFS(RawData!F2:F29,RawData!B2:B29,30)</f>
        <v/>
      </c>
      <c r="F60" s="28">
        <f>SUMIFS(RawData!G2:G29,RawData!B2:B29,30)</f>
        <v/>
      </c>
      <c r="G60" s="28">
        <f>SUMIFS(RawData!H2:H29,RawData!B2:B29,30)</f>
        <v/>
      </c>
      <c r="H60" s="28">
        <f>SUMIFS(RawData!I2:I29,RawData!B2:B29,30)</f>
        <v/>
      </c>
      <c r="I60" s="28">
        <f>SUMIFS(RawData!J2:J29,RawData!B2:B29,30)</f>
        <v/>
      </c>
      <c r="J60" s="28">
        <f>SUMIFS(RawData!K2:K29,RawData!B2:B29,30)</f>
        <v/>
      </c>
      <c r="K60" s="28">
        <f>SUMIFS(RawData!L2:L29,RawData!B2:B29,30)</f>
        <v/>
      </c>
      <c r="L60" s="28">
        <f>SUMIFS(RawData!M2:M29,RawData!B2:B29,30)</f>
        <v/>
      </c>
      <c r="M60" s="29">
        <f>AVERAGEIFS(RawData!N2:N29,RawData!B2:B29,30)</f>
        <v/>
      </c>
    </row>
    <row r="61">
      <c r="A61" s="30" t="n"/>
      <c r="B61" s="30" t="n"/>
      <c r="C61" s="31" t="inlineStr">
        <is>
          <t>Actual</t>
        </is>
      </c>
      <c r="D61" s="32">
        <f>SUMIFS(RawData!O2:O29,RawData!B2:B29,30)</f>
        <v/>
      </c>
      <c r="E61" s="32">
        <f>SUMIFS(RawData!P2:P29,RawData!B2:B29,30)</f>
        <v/>
      </c>
      <c r="F61" s="32">
        <f>SUMIFS(RawData!Q2:Q29,RawData!B2:B29,30)</f>
        <v/>
      </c>
      <c r="G61" s="32">
        <f>SUMIFS(RawData!R2:R29,RawData!B2:B29,30)</f>
        <v/>
      </c>
      <c r="H61" s="32">
        <f>SUMIFS(RawData!S2:S29,RawData!B2:B29,30)</f>
        <v/>
      </c>
      <c r="I61" s="32">
        <f>SUMIFS(RawData!T2:T29,RawData!B2:B29,30)</f>
        <v/>
      </c>
      <c r="J61" s="32">
        <f>SUMIFS(RawData!U2:U29,RawData!B2:B29,30)</f>
        <v/>
      </c>
      <c r="K61" s="32">
        <f>SUMIFS(RawData!V2:V29,RawData!B2:B29,30)</f>
        <v/>
      </c>
      <c r="L61" s="32">
        <f>SUMIFS(RawData!W2:W29,RawData!B2:B29,30)</f>
        <v/>
      </c>
      <c r="M61" s="33">
        <f>AVERAGEIFS(RawData!X2:X29,RawData!B2:B29,30)</f>
        <v/>
      </c>
    </row>
    <row r="62">
      <c r="A62" s="30" t="n"/>
      <c r="B62" s="30" t="n"/>
      <c r="C62" s="34" t="inlineStr">
        <is>
          <t>Gap</t>
        </is>
      </c>
      <c r="D62" s="32">
        <f>D61-D60</f>
        <v/>
      </c>
      <c r="E62" s="32">
        <f>E61-E60</f>
        <v/>
      </c>
      <c r="F62" s="32">
        <f>F61-F60</f>
        <v/>
      </c>
      <c r="G62" s="32">
        <f>G61-G60</f>
        <v/>
      </c>
      <c r="H62" s="32">
        <f>H61-H60</f>
        <v/>
      </c>
      <c r="I62" s="32">
        <f>I61-I60</f>
        <v/>
      </c>
      <c r="J62" s="32">
        <f>J61-J60</f>
        <v/>
      </c>
      <c r="K62" s="32">
        <f>K61-K60</f>
        <v/>
      </c>
      <c r="L62" s="32">
        <f>L61-L60</f>
        <v/>
      </c>
      <c r="M62" s="33">
        <f>M61-M60</f>
        <v/>
      </c>
    </row>
    <row r="65">
      <c r="A65" s="21" t="inlineStr">
        <is>
          <t>เปรียบเทียบกับสัปดาห์อ้างอิง (สัปดาห์ 10–13 (มี.ค. 2569))</t>
        </is>
      </c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</row>
    <row r="66">
      <c r="A66" s="24" t="inlineStr">
        <is>
          <t>รายการ</t>
        </is>
      </c>
      <c r="B66" s="24" t="inlineStr">
        <is>
          <t>ช่วงเวลา</t>
        </is>
      </c>
      <c r="C66" s="24" t="inlineStr">
        <is>
          <t>JRTS</t>
        </is>
      </c>
      <c r="D66" s="24" t="inlineStr">
        <is>
          <t>Association Product</t>
        </is>
      </c>
      <c r="E66" s="24" t="inlineStr">
        <is>
          <t>Association Refer</t>
        </is>
      </c>
      <c r="F66" s="24" t="inlineStr">
        <is>
          <t>Reciprocation</t>
        </is>
      </c>
      <c r="G66" s="24" t="inlineStr">
        <is>
          <t>Shop Online 1</t>
        </is>
      </c>
      <c r="H66" s="24" t="inlineStr">
        <is>
          <t>Shop Online 2</t>
        </is>
      </c>
      <c r="I66" s="24" t="inlineStr">
        <is>
          <t>Project</t>
        </is>
      </c>
      <c r="J66" s="24" t="inlineStr">
        <is>
          <t>Service</t>
        </is>
      </c>
      <c r="K66" s="24" t="inlineStr">
        <is>
          <t>Total</t>
        </is>
      </c>
      <c r="L66" s="24" t="inlineStr">
        <is>
          <t>%MA/Rev</t>
        </is>
      </c>
    </row>
    <row r="67">
      <c r="A67" s="31" t="inlineStr">
        <is>
          <t>Actual สัปดาห์ 10–13 (มี.ค. 2569)</t>
        </is>
      </c>
      <c r="B67" s="31" t="inlineStr">
        <is>
          <t>2–29 มี.ค. 2569</t>
        </is>
      </c>
      <c r="C67" s="35" t="n">
        <v>-535443.1143</v>
      </c>
      <c r="D67" s="35" t="n">
        <v>3231.941368</v>
      </c>
      <c r="E67" s="35" t="n">
        <v>0</v>
      </c>
      <c r="F67" s="35" t="n">
        <v>0</v>
      </c>
      <c r="G67" s="35" t="n">
        <v>0</v>
      </c>
      <c r="H67" s="35" t="n">
        <v>0</v>
      </c>
      <c r="I67" s="35" t="n">
        <v>0</v>
      </c>
      <c r="J67" s="35" t="n">
        <v>0</v>
      </c>
      <c r="K67" s="36">
        <f>SUM(C67:J67)</f>
        <v/>
      </c>
      <c r="L67" s="37">
        <f>K67/RevenueMonth</f>
        <v/>
      </c>
    </row>
    <row r="68">
      <c r="A68" s="31" t="inlineStr">
        <is>
          <t>Target สัปดาห์ 27–30 (29 มิถุนายน – 26 กรกฎาคม 2569)</t>
        </is>
      </c>
      <c r="B68" s="31" t="inlineStr">
        <is>
          <t>29 มิ.ย.–26 ก.ค.</t>
        </is>
      </c>
      <c r="C68" s="32">
        <f>SUM(RawData!E2:E29)</f>
        <v/>
      </c>
      <c r="D68" s="32">
        <f>SUM(RawData!F2:F29)</f>
        <v/>
      </c>
      <c r="E68" s="32">
        <f>SUM(RawData!G2:G29)</f>
        <v/>
      </c>
      <c r="F68" s="32">
        <f>SUM(RawData!H2:H29)</f>
        <v/>
      </c>
      <c r="G68" s="32">
        <f>SUM(RawData!I2:I29)</f>
        <v/>
      </c>
      <c r="H68" s="32">
        <f>SUM(RawData!J2:J29)</f>
        <v/>
      </c>
      <c r="I68" s="32">
        <f>SUM(RawData!K2:K29)</f>
        <v/>
      </c>
      <c r="J68" s="32">
        <f>SUM(RawData!L2:L29)</f>
        <v/>
      </c>
      <c r="K68" s="36">
        <f>SUM(C68:J68)</f>
        <v/>
      </c>
      <c r="L68" s="37">
        <f>K68/RevenueMonth</f>
        <v/>
      </c>
    </row>
    <row r="69">
      <c r="A69" s="34">
        <f>"Actual สะสม (ถึง "&amp;INDEX(RawData!C2:C29,MATCH(TodayDay-1,RawData!A2:A29,0))&amp;")"</f>
        <v/>
      </c>
      <c r="B69" s="31">
        <f>LEFT(RawData!C2,LEN(RawData!C2)-5)&amp;"–"&amp;LEFT(INDEX(RawData!C2:C29,MATCH(TodayDay-1,RawData!A2:A29,0)),LEN(INDEX(RawData!C2:C29,MATCH(TodayDay-1,RawData!A2:A29,0)))-5)</f>
        <v/>
      </c>
      <c r="C69" s="32">
        <f>SUMIFS(RawData!O2:O29,RawData!A2:A29,"&lt;"&amp;TodayDay)</f>
        <v/>
      </c>
      <c r="D69" s="32">
        <f>SUMIFS(RawData!P2:P29,RawData!A2:A29,"&lt;"&amp;TodayDay)</f>
        <v/>
      </c>
      <c r="E69" s="32">
        <f>SUMIFS(RawData!Q2:Q29,RawData!A2:A29,"&lt;"&amp;TodayDay)</f>
        <v/>
      </c>
      <c r="F69" s="32">
        <f>SUMIFS(RawData!R2:R29,RawData!A2:A29,"&lt;"&amp;TodayDay)</f>
        <v/>
      </c>
      <c r="G69" s="32">
        <f>SUMIFS(RawData!S2:S29,RawData!A2:A29,"&lt;"&amp;TodayDay)</f>
        <v/>
      </c>
      <c r="H69" s="32">
        <f>SUMIFS(RawData!T2:T29,RawData!A2:A29,"&lt;"&amp;TodayDay)</f>
        <v/>
      </c>
      <c r="I69" s="32">
        <f>SUMIFS(RawData!U2:U29,RawData!A2:A29,"&lt;"&amp;TodayDay)</f>
        <v/>
      </c>
      <c r="J69" s="32">
        <f>SUMIFS(RawData!V2:V29,RawData!A2:A29,"&lt;"&amp;TodayDay)</f>
        <v/>
      </c>
      <c r="K69" s="36">
        <f>SUM(C69:J69)</f>
        <v/>
      </c>
      <c r="L69" s="37">
        <f>K69/RevenueMonth</f>
        <v/>
      </c>
    </row>
    <row r="72">
      <c r="A72" s="21" t="inlineStr">
        <is>
          <t>การวิเคราะห์ผล</t>
        </is>
      </c>
      <c r="B72" s="20" t="n"/>
      <c r="C72" s="20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</row>
    <row r="73">
      <c r="A73" s="38" t="inlineStr">
        <is>
          <t>🔍 สาเหตุ</t>
        </is>
      </c>
      <c r="B73" s="12" t="n"/>
      <c r="C73" s="12" t="n"/>
      <c r="D73" s="12" t="n"/>
      <c r="E73" s="12" t="n"/>
      <c r="F73" s="38" t="inlineStr">
        <is>
          <t>📌 ที่มาของสาเหตุ</t>
        </is>
      </c>
      <c r="G73" s="12" t="n"/>
      <c r="H73" s="12" t="n"/>
      <c r="I73" s="12" t="n"/>
      <c r="J73" s="12" t="n"/>
      <c r="K73" s="12" t="n"/>
      <c r="L73" s="38" t="inlineStr">
        <is>
          <t>✅ แนวทางแก้ปัญหา</t>
        </is>
      </c>
      <c r="M73" s="12" t="n"/>
      <c r="N73" s="12" t="n"/>
      <c r="O73" s="12" t="n"/>
      <c r="P73" s="12" t="n"/>
    </row>
    <row r="74" ht="30" customHeight="1">
      <c r="A74" s="39" t="inlineStr">
        <is>
          <t>1. JRTS สะสม 10 วันแรก -175,113.10 บาท เป็นต้นทุนแรงงานหลักที่ดึง MA ลง คิดเป็น 102.1% ของ MA ติดลบทั้งหมด แต่ยังดีกว่า Target ที่ -194,190.92 บาทอยู่ 19,077.82 บาท
2. Association Product, Refer, Reciprocation ยังไม่มี Actual เลยตลอด 10 วันแรกของสัปดาห์ 27–28 (0 บาท จาก Target รวม 852.39 บาท)
3. Shop Online (1+2) สะสม 3,675.36 บาท ดีกว่า Target 109.47 บาท อย่างมีนัยสำคัญ (+3,459%) เป็นตัวช่วยหลักที่ทำให้ผล MA รวมดีกว่า Target</t>
        </is>
      </c>
      <c r="B74" s="5" t="n"/>
      <c r="C74" s="5" t="n"/>
      <c r="D74" s="5" t="n"/>
      <c r="E74" s="5" t="n"/>
      <c r="F74" s="39" t="inlineStr">
        <is>
          <t>1. แผนก PCRC มีต้นทุนแรงงาน JRTS สูงตามโครงสร้างพนักงาน แต่ 10 วันแรกใช้ชั่วโมงทำงานต่ำกว่าที่ Target ตั้งไว้ ทำให้ต้นทุนจริงต่ำกว่าที่ประเมิน
2. ข้อมูล Association Product/Refer/Reciprocation ยังไม่ถูกบันทึกลงระบบ หรือยังไม่มีการโทรติดตามลูกค้าตลอด 10 วันแรกของรอบสัปดาห์นี้
3. %MA/Revenue สะสม -2.89% ดีกว่า Target -8.15% (ต่างกัน 5.25pp) เนื่องจาก JRTS Actual ต่ำกว่า Target และ Shop Online ทำได้เกิน Target มาก</t>
        </is>
      </c>
      <c r="G74" s="5" t="n"/>
      <c r="H74" s="5" t="n"/>
      <c r="I74" s="5" t="n"/>
      <c r="J74" s="5" t="n"/>
      <c r="K74" s="5" t="n"/>
      <c r="L74" s="39" t="inlineStr">
        <is>
          <t>1. เร่งบันทึก Association Product/Refer/Reciprocation ที่ตกค้าง และกระตุ้นทีมโทรติดตามลูกค้าให้ครบ Target รวม ~87.75 บาท/วัน
2. รักษาระดับ Shop Online ต่อเนื่อง ปัจจุบันทำได้เกิน Target กว่า 33 เท่า ให้คงอัตรานี้ตลอดสัปดาห์ที่เหลือ
3. เฝ้าติดตาม %MA/Revenue วันถัดไปให้ยังคงดีกว่า Target ต่อเนื่อง เนื่องจากยังเหลืออีก 18 วันในรอบสัปดาห์ 27–30</t>
        </is>
      </c>
      <c r="M74" s="5" t="n"/>
      <c r="N74" s="5" t="n"/>
      <c r="O74" s="5" t="n"/>
      <c r="P74" s="5" t="n"/>
    </row>
    <row r="75" ht="30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</row>
    <row r="76" ht="30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</row>
    <row r="79" ht="24" customHeight="1">
      <c r="A79" s="40">
        <f>IF(INDEX(RawData!X2:X29,MATCH(TodayDay-1,RawData!A2:A29,0))&gt;=INDEX(RawData!N2:N29,MATCH(TodayDay-1,RawData!A2:A29,0)),"✅ %MA/Revenue เมื่อวาน ("&amp;INDEX(RawData!C2:C29,MATCH(TodayDay-1,RawData!A2:A29,0))&amp;") = "&amp;TEXT(INDEX(RawData!X2:X29,MATCH(TodayDay-1,RawData!A2:A29,0)),"0.00%")&amp;" ดีกว่า Target ("&amp;TEXT(INDEX(RawData!N2:N29,MATCH(TodayDay-1,RawData!A2:A29,0)),"0.00%")&amp;") — ไม่มีการมอบหมายงานเพิ่มเติม","⚠️ %MA/Revenue เมื่อวาน ("&amp;INDEX(RawData!C2:C29,MATCH(TodayDay-1,RawData!A2:A29,0))&amp;") = "&amp;TEXT(INDEX(RawData!X2:X29,MATCH(TodayDay-1,RawData!A2:A29,0)),"0.00%")&amp;" ต่ำกว่า Target ("&amp;TEXT(INDEX(RawData!N2:N29,MATCH(TodayDay-1,RawData!A2:A29,0)),"0.00%")&amp;") — ต้องมอบหมายงานเพิ่มเติม ตรวจสอบทีม ap/ar/rc/so1/so2")</f>
        <v/>
      </c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</row>
  </sheetData>
  <mergeCells count="94">
    <mergeCell ref="G13:I13"/>
    <mergeCell ref="I6:M6"/>
    <mergeCell ref="A11:E11"/>
    <mergeCell ref="F8:H8"/>
    <mergeCell ref="M14:P14"/>
    <mergeCell ref="G15:I15"/>
    <mergeCell ref="A44:D44"/>
    <mergeCell ref="M46:P46"/>
    <mergeCell ref="I40:L40"/>
    <mergeCell ref="M43:P43"/>
    <mergeCell ref="N9:P9"/>
    <mergeCell ref="F9:H9"/>
    <mergeCell ref="G16:I16"/>
    <mergeCell ref="D14:F14"/>
    <mergeCell ref="A79:P79"/>
    <mergeCell ref="A41:D41"/>
    <mergeCell ref="A5:H5"/>
    <mergeCell ref="I8:M8"/>
    <mergeCell ref="M16:P16"/>
    <mergeCell ref="J13:L13"/>
    <mergeCell ref="A49:L49"/>
    <mergeCell ref="I10:M10"/>
    <mergeCell ref="F7:H7"/>
    <mergeCell ref="A42:D42"/>
    <mergeCell ref="J15:L15"/>
    <mergeCell ref="I9:M9"/>
    <mergeCell ref="M45:P45"/>
    <mergeCell ref="E45:H45"/>
    <mergeCell ref="I39:L39"/>
    <mergeCell ref="I44:L44"/>
    <mergeCell ref="I11:M11"/>
    <mergeCell ref="N8:P8"/>
    <mergeCell ref="A6:E6"/>
    <mergeCell ref="J16:L16"/>
    <mergeCell ref="G14:I14"/>
    <mergeCell ref="N10:P10"/>
    <mergeCell ref="A14:C14"/>
    <mergeCell ref="I46:L46"/>
    <mergeCell ref="M44:P44"/>
    <mergeCell ref="A18:H18"/>
    <mergeCell ref="L73:P73"/>
    <mergeCell ref="A13:C13"/>
    <mergeCell ref="A1:P1"/>
    <mergeCell ref="A15:C15"/>
    <mergeCell ref="I41:L41"/>
    <mergeCell ref="I5:P5"/>
    <mergeCell ref="F11:H11"/>
    <mergeCell ref="A46:D46"/>
    <mergeCell ref="A65:P65"/>
    <mergeCell ref="E40:H40"/>
    <mergeCell ref="J14:L14"/>
    <mergeCell ref="M13:P13"/>
    <mergeCell ref="I43:L43"/>
    <mergeCell ref="A16:C16"/>
    <mergeCell ref="I42:L42"/>
    <mergeCell ref="A73:E73"/>
    <mergeCell ref="A38:P38"/>
    <mergeCell ref="D16:F16"/>
    <mergeCell ref="A39:D39"/>
    <mergeCell ref="I45:L45"/>
    <mergeCell ref="A74:E76"/>
    <mergeCell ref="A45:D45"/>
    <mergeCell ref="M39:P39"/>
    <mergeCell ref="I18:P18"/>
    <mergeCell ref="E39:H39"/>
    <mergeCell ref="F73:K73"/>
    <mergeCell ref="A9:E9"/>
    <mergeCell ref="N11:P11"/>
    <mergeCell ref="F6:H6"/>
    <mergeCell ref="M40:P40"/>
    <mergeCell ref="E46:H46"/>
    <mergeCell ref="A3:P3"/>
    <mergeCell ref="D13:F13"/>
    <mergeCell ref="M41:P41"/>
    <mergeCell ref="F74:K76"/>
    <mergeCell ref="A43:D43"/>
    <mergeCell ref="E41:H41"/>
    <mergeCell ref="A72:P72"/>
    <mergeCell ref="A40:D40"/>
    <mergeCell ref="I7:M7"/>
    <mergeCell ref="A7:E7"/>
    <mergeCell ref="E43:H43"/>
    <mergeCell ref="D15:F15"/>
    <mergeCell ref="E42:H42"/>
    <mergeCell ref="N6:P6"/>
    <mergeCell ref="L74:P76"/>
    <mergeCell ref="E44:H44"/>
    <mergeCell ref="A8:E8"/>
    <mergeCell ref="N7:P7"/>
    <mergeCell ref="F10:H10"/>
    <mergeCell ref="A10:E10"/>
    <mergeCell ref="M15:P15"/>
    <mergeCell ref="M42:P42"/>
    <mergeCell ref="A2:P2"/>
  </mergeCells>
  <conditionalFormatting sqref="F7">
    <cfRule type="expression" priority="1" dxfId="0">
      <formula>F7&gt;F8</formula>
    </cfRule>
    <cfRule type="expression" priority="2" dxfId="1">
      <formula>F7&lt;F8</formula>
    </cfRule>
  </conditionalFormatting>
  <conditionalFormatting sqref="F10">
    <cfRule type="expression" priority="3" dxfId="0">
      <formula>F10&gt;F11</formula>
    </cfRule>
    <cfRule type="expression" priority="4" dxfId="1">
      <formula>F10&lt;F11</formula>
    </cfRule>
  </conditionalFormatting>
  <conditionalFormatting sqref="N7">
    <cfRule type="expression" priority="5" dxfId="0">
      <formula>N7&gt;N8</formula>
    </cfRule>
    <cfRule type="expression" priority="6" dxfId="1">
      <formula>N7&lt;N8</formula>
    </cfRule>
  </conditionalFormatting>
  <conditionalFormatting sqref="N10">
    <cfRule type="expression" priority="7" dxfId="0">
      <formula>N10&gt;N11</formula>
    </cfRule>
    <cfRule type="expression" priority="8" dxfId="1">
      <formula>N10&lt;N11</formula>
    </cfRule>
  </conditionalFormatting>
  <conditionalFormatting sqref="A16:C16">
    <cfRule type="expression" priority="9" dxfId="2">
      <formula>(A14-A15)&lt;0</formula>
    </cfRule>
  </conditionalFormatting>
  <conditionalFormatting sqref="A14">
    <cfRule type="expression" priority="10" dxfId="0">
      <formula>A14&gt;A15</formula>
    </cfRule>
    <cfRule type="expression" priority="11" dxfId="1">
      <formula>A14&lt;A15</formula>
    </cfRule>
  </conditionalFormatting>
  <conditionalFormatting sqref="D16:F16">
    <cfRule type="expression" priority="12" dxfId="2">
      <formula>(D14-D15)&lt;0</formula>
    </cfRule>
  </conditionalFormatting>
  <conditionalFormatting sqref="D14">
    <cfRule type="expression" priority="13" dxfId="0">
      <formula>D14&gt;D15</formula>
    </cfRule>
    <cfRule type="expression" priority="14" dxfId="1">
      <formula>D14&lt;D15</formula>
    </cfRule>
  </conditionalFormatting>
  <conditionalFormatting sqref="G16:I16">
    <cfRule type="expression" priority="15" dxfId="2">
      <formula>(G14-G15)&lt;0</formula>
    </cfRule>
  </conditionalFormatting>
  <conditionalFormatting sqref="G14">
    <cfRule type="expression" priority="16" dxfId="0">
      <formula>G14&gt;G15</formula>
    </cfRule>
    <cfRule type="expression" priority="17" dxfId="1">
      <formula>G14&lt;G15</formula>
    </cfRule>
  </conditionalFormatting>
  <conditionalFormatting sqref="J16:L16">
    <cfRule type="expression" priority="18" dxfId="2">
      <formula>(J14-J15)&lt;0</formula>
    </cfRule>
  </conditionalFormatting>
  <conditionalFormatting sqref="J14">
    <cfRule type="expression" priority="19" dxfId="0">
      <formula>J14&gt;J15</formula>
    </cfRule>
    <cfRule type="expression" priority="20" dxfId="1">
      <formula>J14&lt;J15</formula>
    </cfRule>
  </conditionalFormatting>
  <conditionalFormatting sqref="M16:P16">
    <cfRule type="expression" priority="21" dxfId="2">
      <formula>(M14-M15)&lt;0</formula>
    </cfRule>
  </conditionalFormatting>
  <conditionalFormatting sqref="M14">
    <cfRule type="expression" priority="22" dxfId="0">
      <formula>M14&gt;M15</formula>
    </cfRule>
    <cfRule type="expression" priority="23" dxfId="1">
      <formula>M14&lt;M15</formula>
    </cfRule>
  </conditionalFormatting>
  <conditionalFormatting sqref="A42:D42">
    <cfRule type="expression" priority="24" dxfId="2">
      <formula>(A40-A41)&lt;0</formula>
    </cfRule>
  </conditionalFormatting>
  <conditionalFormatting sqref="A40">
    <cfRule type="expression" priority="25" dxfId="0">
      <formula>A40&gt;A41</formula>
    </cfRule>
    <cfRule type="expression" priority="26" dxfId="1">
      <formula>A40&lt;A41</formula>
    </cfRule>
  </conditionalFormatting>
  <conditionalFormatting sqref="E42:H42">
    <cfRule type="expression" priority="27" dxfId="2">
      <formula>(E40-E41)&lt;0</formula>
    </cfRule>
  </conditionalFormatting>
  <conditionalFormatting sqref="E40">
    <cfRule type="expression" priority="28" dxfId="0">
      <formula>E40&gt;E41</formula>
    </cfRule>
    <cfRule type="expression" priority="29" dxfId="1">
      <formula>E40&lt;E41</formula>
    </cfRule>
  </conditionalFormatting>
  <conditionalFormatting sqref="I42:L42">
    <cfRule type="expression" priority="30" dxfId="2">
      <formula>(I40-I41)&lt;0</formula>
    </cfRule>
  </conditionalFormatting>
  <conditionalFormatting sqref="I40">
    <cfRule type="expression" priority="31" dxfId="0">
      <formula>I40&gt;I41</formula>
    </cfRule>
    <cfRule type="expression" priority="32" dxfId="1">
      <formula>I40&lt;I41</formula>
    </cfRule>
  </conditionalFormatting>
  <conditionalFormatting sqref="M42:P42">
    <cfRule type="expression" priority="33" dxfId="2">
      <formula>(M40-M41)&lt;0</formula>
    </cfRule>
  </conditionalFormatting>
  <conditionalFormatting sqref="M40">
    <cfRule type="expression" priority="34" dxfId="0">
      <formula>M40&gt;M41</formula>
    </cfRule>
    <cfRule type="expression" priority="35" dxfId="1">
      <formula>M40&lt;M41</formula>
    </cfRule>
  </conditionalFormatting>
  <conditionalFormatting sqref="A46:D46">
    <cfRule type="expression" priority="36" dxfId="2">
      <formula>(A44-A45)&lt;0</formula>
    </cfRule>
  </conditionalFormatting>
  <conditionalFormatting sqref="A44">
    <cfRule type="expression" priority="37" dxfId="0">
      <formula>A44&gt;A45</formula>
    </cfRule>
    <cfRule type="expression" priority="38" dxfId="1">
      <formula>A44&lt;A45</formula>
    </cfRule>
  </conditionalFormatting>
  <conditionalFormatting sqref="E46:H46">
    <cfRule type="expression" priority="39" dxfId="2">
      <formula>(E44-E45)&lt;0</formula>
    </cfRule>
  </conditionalFormatting>
  <conditionalFormatting sqref="E44">
    <cfRule type="expression" priority="40" dxfId="0">
      <formula>E44&gt;E45</formula>
    </cfRule>
    <cfRule type="expression" priority="41" dxfId="1">
      <formula>E44&lt;E45</formula>
    </cfRule>
  </conditionalFormatting>
  <conditionalFormatting sqref="I46:L46">
    <cfRule type="expression" priority="42" dxfId="2">
      <formula>(I44-I45)&lt;0</formula>
    </cfRule>
  </conditionalFormatting>
  <conditionalFormatting sqref="I44">
    <cfRule type="expression" priority="43" dxfId="0">
      <formula>I44&gt;I45</formula>
    </cfRule>
    <cfRule type="expression" priority="44" dxfId="1">
      <formula>I44&lt;I45</formula>
    </cfRule>
  </conditionalFormatting>
  <conditionalFormatting sqref="M46:P46">
    <cfRule type="expression" priority="45" dxfId="2">
      <formula>(M44-M45)&lt;0</formula>
    </cfRule>
  </conditionalFormatting>
  <conditionalFormatting sqref="M44">
    <cfRule type="expression" priority="46" dxfId="0">
      <formula>M44&gt;M45</formula>
    </cfRule>
    <cfRule type="expression" priority="47" dxfId="1">
      <formula>M44&lt;M45</formula>
    </cfRule>
  </conditionalFormatting>
  <conditionalFormatting sqref="D52:L52">
    <cfRule type="expression" priority="48" dxfId="0">
      <formula>D52&gt;D51</formula>
    </cfRule>
    <cfRule type="expression" priority="49" dxfId="1">
      <formula>D52&lt;D51</formula>
    </cfRule>
  </conditionalFormatting>
  <conditionalFormatting sqref="M52">
    <cfRule type="expression" priority="50" dxfId="0">
      <formula>M52&gt;M51</formula>
    </cfRule>
    <cfRule type="expression" priority="51" dxfId="1">
      <formula>M52&lt;M51</formula>
    </cfRule>
  </conditionalFormatting>
  <conditionalFormatting sqref="D55:L55">
    <cfRule type="expression" priority="52" dxfId="0">
      <formula>D55&gt;D54</formula>
    </cfRule>
    <cfRule type="expression" priority="53" dxfId="1">
      <formula>D55&lt;D54</formula>
    </cfRule>
  </conditionalFormatting>
  <conditionalFormatting sqref="M55">
    <cfRule type="expression" priority="54" dxfId="0">
      <formula>M55&gt;M54</formula>
    </cfRule>
    <cfRule type="expression" priority="55" dxfId="1">
      <formula>M55&lt;M54</formula>
    </cfRule>
  </conditionalFormatting>
  <conditionalFormatting sqref="D58:L58">
    <cfRule type="expression" priority="56" dxfId="0">
      <formula>D58&gt;D57</formula>
    </cfRule>
    <cfRule type="expression" priority="57" dxfId="1">
      <formula>D58&lt;D57</formula>
    </cfRule>
  </conditionalFormatting>
  <conditionalFormatting sqref="M58">
    <cfRule type="expression" priority="58" dxfId="0">
      <formula>M58&gt;M57</formula>
    </cfRule>
    <cfRule type="expression" priority="59" dxfId="1">
      <formula>M58&lt;M57</formula>
    </cfRule>
  </conditionalFormatting>
  <conditionalFormatting sqref="D61:L61">
    <cfRule type="expression" priority="60" dxfId="0">
      <formula>D61&gt;D60</formula>
    </cfRule>
    <cfRule type="expression" priority="61" dxfId="1">
      <formula>D61&lt;D60</formula>
    </cfRule>
  </conditionalFormatting>
  <conditionalFormatting sqref="M61">
    <cfRule type="expression" priority="62" dxfId="0">
      <formula>M61&gt;M60</formula>
    </cfRule>
    <cfRule type="expression" priority="63" dxfId="1">
      <formula>M61&lt;M60</formula>
    </cfRule>
  </conditionalFormatting>
  <conditionalFormatting sqref="C69:K69">
    <cfRule type="expression" priority="64" dxfId="0">
      <formula>C69&gt;C68</formula>
    </cfRule>
    <cfRule type="expression" priority="65" dxfId="1">
      <formula>C69&lt;C68</formula>
    </cfRule>
  </conditionalFormatting>
  <conditionalFormatting sqref="A79:P79">
    <cfRule type="expression" priority="66" dxfId="3">
      <formula>LEFT($A$79,1)="⚠"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9" customWidth="1" min="13" max="13"/>
  </cols>
  <sheetData>
    <row r="1" ht="26" customHeight="1">
      <c r="A1" s="41" t="inlineStr">
        <is>
          <t>📅 DailyMA — รายวัน สัปดาห์ 27–30 (29 มิถุนายน – 26 กรกฎาคม 2569)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</row>
    <row r="2">
      <c r="A2" s="3">
        <f>"ช่วง: 29 มิถุนายน – 26 กรกฎาคม 2569    |    สัปดาห์: 27–30    |    Revenue: ฿"&amp;TEXT(RevenueMonth,"#,##0.00")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4">
      <c r="A4" s="11" t="inlineStr">
        <is>
          <t>JRTS สะสม (Actual)</t>
        </is>
      </c>
      <c r="B4" s="12" t="n"/>
      <c r="C4" s="12" t="n"/>
      <c r="D4" s="11" t="inlineStr">
        <is>
          <t>Shop Online สะสม (Actual)</t>
        </is>
      </c>
      <c r="E4" s="12" t="n"/>
      <c r="F4" s="12" t="n"/>
      <c r="G4" s="11" t="inlineStr">
        <is>
          <t>Total MA สะสม (Actual)</t>
        </is>
      </c>
      <c r="H4" s="12" t="n"/>
      <c r="I4" s="12" t="n"/>
      <c r="J4" s="11" t="inlineStr">
        <is>
          <t>%MA/Rev สะสม</t>
        </is>
      </c>
      <c r="K4" s="12" t="n"/>
      <c r="L4" s="12" t="n"/>
    </row>
    <row r="5">
      <c r="A5" s="43">
        <f>SUMIFS(RawData!O2:O29,RawData!A2:A29,"&lt;"&amp;TodayDay)</f>
        <v/>
      </c>
      <c r="B5" s="5" t="n"/>
      <c r="C5" s="5" t="n"/>
      <c r="D5" s="43">
        <f>SUMIFS(RawData!S2:S29,RawData!A2:A29,"&lt;"&amp;TodayDay)+SUMIFS(RawData!T2:T29,RawData!A2:A29,"&lt;"&amp;TodayDay)</f>
        <v/>
      </c>
      <c r="E5" s="5" t="n"/>
      <c r="F5" s="5" t="n"/>
      <c r="G5" s="43">
        <f>SUMIFS(RawData!W2:W29,RawData!A2:A29,"&lt;"&amp;TodayDay)</f>
        <v/>
      </c>
      <c r="H5" s="5" t="n"/>
      <c r="I5" s="5" t="n"/>
      <c r="J5" s="44">
        <f>SUMIFS(RawData!W2:W29,RawData!A2:A29,"&lt;"&amp;TodayDay)/RevenueMonth</f>
        <v/>
      </c>
      <c r="K5" s="5" t="n"/>
      <c r="L5" s="5" t="n"/>
    </row>
    <row r="6">
      <c r="A6" s="15">
        <f>SUM(RawData!E2:E29)</f>
        <v/>
      </c>
      <c r="B6" s="5" t="n"/>
      <c r="C6" s="5" t="n"/>
      <c r="D6" s="15">
        <f>SUM(RawData!I2:I29)+SUM(RawData!J2:J29)</f>
        <v/>
      </c>
      <c r="E6" s="5" t="n"/>
      <c r="F6" s="5" t="n"/>
      <c r="G6" s="15">
        <f>SUM(RawData!M2:M29)</f>
        <v/>
      </c>
      <c r="H6" s="5" t="n"/>
      <c r="I6" s="5" t="n"/>
      <c r="J6" s="16">
        <f>SUM(RawData!M2:M29)/RevenueMonth</f>
        <v/>
      </c>
      <c r="K6" s="5" t="n"/>
      <c r="L6" s="5" t="n"/>
    </row>
    <row r="8">
      <c r="A8" s="21" t="inlineStr">
        <is>
          <t>ตารางรายวัน Target / Actual / Gap</t>
        </is>
      </c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</row>
    <row r="9">
      <c r="A9" s="24" t="inlineStr">
        <is>
          <t>สัปดาห์</t>
        </is>
      </c>
      <c r="B9" s="24" t="inlineStr">
        <is>
          <t>วันที่</t>
        </is>
      </c>
      <c r="C9" s="24" t="inlineStr">
        <is>
          <t>ประเภท</t>
        </is>
      </c>
      <c r="D9" s="24" t="inlineStr">
        <is>
          <t>JRTS</t>
        </is>
      </c>
      <c r="E9" s="24" t="inlineStr">
        <is>
          <t>Association Product</t>
        </is>
      </c>
      <c r="F9" s="24" t="inlineStr">
        <is>
          <t>Association Refer</t>
        </is>
      </c>
      <c r="G9" s="24" t="inlineStr">
        <is>
          <t>Reciprocation</t>
        </is>
      </c>
      <c r="H9" s="24" t="inlineStr">
        <is>
          <t>Shop Online 1</t>
        </is>
      </c>
      <c r="I9" s="24" t="inlineStr">
        <is>
          <t>Shop Online 2</t>
        </is>
      </c>
      <c r="J9" s="24" t="inlineStr">
        <is>
          <t>Project</t>
        </is>
      </c>
      <c r="K9" s="24" t="inlineStr">
        <is>
          <t>Service</t>
        </is>
      </c>
      <c r="L9" s="24" t="inlineStr">
        <is>
          <t>Total</t>
        </is>
      </c>
      <c r="M9" s="24" t="inlineStr">
        <is>
          <t>%MA/Rev</t>
        </is>
      </c>
    </row>
    <row r="10">
      <c r="A10" s="45" t="n">
        <v>27</v>
      </c>
      <c r="B10" s="46" t="inlineStr">
        <is>
          <t>29 มิ.ย. 2569</t>
        </is>
      </c>
      <c r="C10" s="47" t="inlineStr">
        <is>
          <t>Target</t>
        </is>
      </c>
      <c r="D10" s="48">
        <f>RawData!E2</f>
        <v/>
      </c>
      <c r="E10" s="48">
        <f>RawData!F2</f>
        <v/>
      </c>
      <c r="F10" s="48">
        <f>RawData!G2</f>
        <v/>
      </c>
      <c r="G10" s="48">
        <f>RawData!H2</f>
        <v/>
      </c>
      <c r="H10" s="48">
        <f>RawData!I2</f>
        <v/>
      </c>
      <c r="I10" s="48">
        <f>RawData!J2</f>
        <v/>
      </c>
      <c r="J10" s="48">
        <f>RawData!K2</f>
        <v/>
      </c>
      <c r="K10" s="48">
        <f>RawData!L2</f>
        <v/>
      </c>
      <c r="L10" s="49">
        <f>RawData!M2</f>
        <v/>
      </c>
      <c r="M10" s="50">
        <f>RawData!N2</f>
        <v/>
      </c>
    </row>
    <row r="11">
      <c r="A11" s="51" t="n"/>
      <c r="B11" s="30" t="n"/>
      <c r="C11" s="46" t="inlineStr">
        <is>
          <t>Actual</t>
        </is>
      </c>
      <c r="D11" s="49">
        <f>IF(RawData!A2&lt;TodayDay,RawData!O2,"")</f>
        <v/>
      </c>
      <c r="E11" s="49">
        <f>IF(RawData!A2&lt;TodayDay,RawData!P2,"")</f>
        <v/>
      </c>
      <c r="F11" s="49">
        <f>IF(RawData!A2&lt;TodayDay,RawData!Q2,"")</f>
        <v/>
      </c>
      <c r="G11" s="49">
        <f>IF(RawData!A2&lt;TodayDay,RawData!R2,"")</f>
        <v/>
      </c>
      <c r="H11" s="49">
        <f>IF(RawData!A2&lt;TodayDay,RawData!S2,"")</f>
        <v/>
      </c>
      <c r="I11" s="49">
        <f>IF(RawData!A2&lt;TodayDay,RawData!T2,"")</f>
        <v/>
      </c>
      <c r="J11" s="49">
        <f>IF(RawData!A2&lt;TodayDay,RawData!U2,"")</f>
        <v/>
      </c>
      <c r="K11" s="49">
        <f>IF(RawData!A2&lt;TodayDay,RawData!V2,"")</f>
        <v/>
      </c>
      <c r="L11" s="49">
        <f>IF(RawData!A2&lt;TodayDay,RawData!W2,"")</f>
        <v/>
      </c>
      <c r="M11" s="50">
        <f>IF(RawData!A2&lt;TodayDay,RawData!X2,"")</f>
        <v/>
      </c>
    </row>
    <row r="12">
      <c r="A12" s="51" t="n"/>
      <c r="B12" s="30" t="n"/>
      <c r="C12" s="52" t="inlineStr">
        <is>
          <t>Gap</t>
        </is>
      </c>
      <c r="D12" s="49">
        <f>IF(RawData!A2&lt;TodayDay,D11-D10,"")</f>
        <v/>
      </c>
      <c r="E12" s="49">
        <f>IF(RawData!A2&lt;TodayDay,E11-E10,"")</f>
        <v/>
      </c>
      <c r="F12" s="49">
        <f>IF(RawData!A2&lt;TodayDay,F11-F10,"")</f>
        <v/>
      </c>
      <c r="G12" s="49">
        <f>IF(RawData!A2&lt;TodayDay,G11-G10,"")</f>
        <v/>
      </c>
      <c r="H12" s="49">
        <f>IF(RawData!A2&lt;TodayDay,H11-H10,"")</f>
        <v/>
      </c>
      <c r="I12" s="49">
        <f>IF(RawData!A2&lt;TodayDay,I11-I10,"")</f>
        <v/>
      </c>
      <c r="J12" s="49">
        <f>IF(RawData!A2&lt;TodayDay,J11-J10,"")</f>
        <v/>
      </c>
      <c r="K12" s="49">
        <f>IF(RawData!A2&lt;TodayDay,K11-K10,"")</f>
        <v/>
      </c>
      <c r="L12" s="49">
        <f>IF(RawData!A2&lt;TodayDay,L11-L10,"")</f>
        <v/>
      </c>
      <c r="M12" s="50">
        <f>IF(RawData!A2&lt;TodayDay,M11-M10,"")</f>
        <v/>
      </c>
    </row>
    <row r="13">
      <c r="A13" s="51" t="n"/>
      <c r="B13" s="46" t="inlineStr">
        <is>
          <t>30 มิ.ย. 2569</t>
        </is>
      </c>
      <c r="C13" s="47" t="inlineStr">
        <is>
          <t>Target</t>
        </is>
      </c>
      <c r="D13" s="48">
        <f>RawData!E3</f>
        <v/>
      </c>
      <c r="E13" s="48">
        <f>RawData!F3</f>
        <v/>
      </c>
      <c r="F13" s="48">
        <f>RawData!G3</f>
        <v/>
      </c>
      <c r="G13" s="48">
        <f>RawData!H3</f>
        <v/>
      </c>
      <c r="H13" s="48">
        <f>RawData!I3</f>
        <v/>
      </c>
      <c r="I13" s="48">
        <f>RawData!J3</f>
        <v/>
      </c>
      <c r="J13" s="48">
        <f>RawData!K3</f>
        <v/>
      </c>
      <c r="K13" s="48">
        <f>RawData!L3</f>
        <v/>
      </c>
      <c r="L13" s="49">
        <f>RawData!M3</f>
        <v/>
      </c>
      <c r="M13" s="50">
        <f>RawData!N3</f>
        <v/>
      </c>
    </row>
    <row r="14">
      <c r="A14" s="51" t="n"/>
      <c r="B14" s="30" t="n"/>
      <c r="C14" s="46" t="inlineStr">
        <is>
          <t>Actual</t>
        </is>
      </c>
      <c r="D14" s="49">
        <f>IF(RawData!A3&lt;TodayDay,RawData!O3,"")</f>
        <v/>
      </c>
      <c r="E14" s="49">
        <f>IF(RawData!A3&lt;TodayDay,RawData!P3,"")</f>
        <v/>
      </c>
      <c r="F14" s="49">
        <f>IF(RawData!A3&lt;TodayDay,RawData!Q3,"")</f>
        <v/>
      </c>
      <c r="G14" s="49">
        <f>IF(RawData!A3&lt;TodayDay,RawData!R3,"")</f>
        <v/>
      </c>
      <c r="H14" s="49">
        <f>IF(RawData!A3&lt;TodayDay,RawData!S3,"")</f>
        <v/>
      </c>
      <c r="I14" s="49">
        <f>IF(RawData!A3&lt;TodayDay,RawData!T3,"")</f>
        <v/>
      </c>
      <c r="J14" s="49">
        <f>IF(RawData!A3&lt;TodayDay,RawData!U3,"")</f>
        <v/>
      </c>
      <c r="K14" s="49">
        <f>IF(RawData!A3&lt;TodayDay,RawData!V3,"")</f>
        <v/>
      </c>
      <c r="L14" s="49">
        <f>IF(RawData!A3&lt;TodayDay,RawData!W3,"")</f>
        <v/>
      </c>
      <c r="M14" s="50">
        <f>IF(RawData!A3&lt;TodayDay,RawData!X3,"")</f>
        <v/>
      </c>
    </row>
    <row r="15">
      <c r="A15" s="51" t="n"/>
      <c r="B15" s="30" t="n"/>
      <c r="C15" s="52" t="inlineStr">
        <is>
          <t>Gap</t>
        </is>
      </c>
      <c r="D15" s="49">
        <f>IF(RawData!A3&lt;TodayDay,D14-D13,"")</f>
        <v/>
      </c>
      <c r="E15" s="49">
        <f>IF(RawData!A3&lt;TodayDay,E14-E13,"")</f>
        <v/>
      </c>
      <c r="F15" s="49">
        <f>IF(RawData!A3&lt;TodayDay,F14-F13,"")</f>
        <v/>
      </c>
      <c r="G15" s="49">
        <f>IF(RawData!A3&lt;TodayDay,G14-G13,"")</f>
        <v/>
      </c>
      <c r="H15" s="49">
        <f>IF(RawData!A3&lt;TodayDay,H14-H13,"")</f>
        <v/>
      </c>
      <c r="I15" s="49">
        <f>IF(RawData!A3&lt;TodayDay,I14-I13,"")</f>
        <v/>
      </c>
      <c r="J15" s="49">
        <f>IF(RawData!A3&lt;TodayDay,J14-J13,"")</f>
        <v/>
      </c>
      <c r="K15" s="49">
        <f>IF(RawData!A3&lt;TodayDay,K14-K13,"")</f>
        <v/>
      </c>
      <c r="L15" s="49">
        <f>IF(RawData!A3&lt;TodayDay,L14-L13,"")</f>
        <v/>
      </c>
      <c r="M15" s="50">
        <f>IF(RawData!A3&lt;TodayDay,M14-M13,"")</f>
        <v/>
      </c>
    </row>
    <row r="16">
      <c r="A16" s="51" t="n"/>
      <c r="B16" s="46" t="inlineStr">
        <is>
          <t>1 ก.ค. 2569</t>
        </is>
      </c>
      <c r="C16" s="47" t="inlineStr">
        <is>
          <t>Target</t>
        </is>
      </c>
      <c r="D16" s="48">
        <f>RawData!E4</f>
        <v/>
      </c>
      <c r="E16" s="48">
        <f>RawData!F4</f>
        <v/>
      </c>
      <c r="F16" s="48">
        <f>RawData!G4</f>
        <v/>
      </c>
      <c r="G16" s="48">
        <f>RawData!H4</f>
        <v/>
      </c>
      <c r="H16" s="48">
        <f>RawData!I4</f>
        <v/>
      </c>
      <c r="I16" s="48">
        <f>RawData!J4</f>
        <v/>
      </c>
      <c r="J16" s="48">
        <f>RawData!K4</f>
        <v/>
      </c>
      <c r="K16" s="48">
        <f>RawData!L4</f>
        <v/>
      </c>
      <c r="L16" s="49">
        <f>RawData!M4</f>
        <v/>
      </c>
      <c r="M16" s="50">
        <f>RawData!N4</f>
        <v/>
      </c>
    </row>
    <row r="17">
      <c r="A17" s="51" t="n"/>
      <c r="B17" s="30" t="n"/>
      <c r="C17" s="46" t="inlineStr">
        <is>
          <t>Actual</t>
        </is>
      </c>
      <c r="D17" s="49">
        <f>IF(RawData!A4&lt;TodayDay,RawData!O4,"")</f>
        <v/>
      </c>
      <c r="E17" s="49">
        <f>IF(RawData!A4&lt;TodayDay,RawData!P4,"")</f>
        <v/>
      </c>
      <c r="F17" s="49">
        <f>IF(RawData!A4&lt;TodayDay,RawData!Q4,"")</f>
        <v/>
      </c>
      <c r="G17" s="49">
        <f>IF(RawData!A4&lt;TodayDay,RawData!R4,"")</f>
        <v/>
      </c>
      <c r="H17" s="49">
        <f>IF(RawData!A4&lt;TodayDay,RawData!S4,"")</f>
        <v/>
      </c>
      <c r="I17" s="49">
        <f>IF(RawData!A4&lt;TodayDay,RawData!T4,"")</f>
        <v/>
      </c>
      <c r="J17" s="49">
        <f>IF(RawData!A4&lt;TodayDay,RawData!U4,"")</f>
        <v/>
      </c>
      <c r="K17" s="49">
        <f>IF(RawData!A4&lt;TodayDay,RawData!V4,"")</f>
        <v/>
      </c>
      <c r="L17" s="49">
        <f>IF(RawData!A4&lt;TodayDay,RawData!W4,"")</f>
        <v/>
      </c>
      <c r="M17" s="50">
        <f>IF(RawData!A4&lt;TodayDay,RawData!X4,"")</f>
        <v/>
      </c>
    </row>
    <row r="18">
      <c r="A18" s="51" t="n"/>
      <c r="B18" s="30" t="n"/>
      <c r="C18" s="52" t="inlineStr">
        <is>
          <t>Gap</t>
        </is>
      </c>
      <c r="D18" s="49">
        <f>IF(RawData!A4&lt;TodayDay,D17-D16,"")</f>
        <v/>
      </c>
      <c r="E18" s="49">
        <f>IF(RawData!A4&lt;TodayDay,E17-E16,"")</f>
        <v/>
      </c>
      <c r="F18" s="49">
        <f>IF(RawData!A4&lt;TodayDay,F17-F16,"")</f>
        <v/>
      </c>
      <c r="G18" s="49">
        <f>IF(RawData!A4&lt;TodayDay,G17-G16,"")</f>
        <v/>
      </c>
      <c r="H18" s="49">
        <f>IF(RawData!A4&lt;TodayDay,H17-H16,"")</f>
        <v/>
      </c>
      <c r="I18" s="49">
        <f>IF(RawData!A4&lt;TodayDay,I17-I16,"")</f>
        <v/>
      </c>
      <c r="J18" s="49">
        <f>IF(RawData!A4&lt;TodayDay,J17-J16,"")</f>
        <v/>
      </c>
      <c r="K18" s="49">
        <f>IF(RawData!A4&lt;TodayDay,K17-K16,"")</f>
        <v/>
      </c>
      <c r="L18" s="49">
        <f>IF(RawData!A4&lt;TodayDay,L17-L16,"")</f>
        <v/>
      </c>
      <c r="M18" s="50">
        <f>IF(RawData!A4&lt;TodayDay,M17-M16,"")</f>
        <v/>
      </c>
    </row>
    <row r="19">
      <c r="A19" s="51" t="n"/>
      <c r="B19" s="46" t="inlineStr">
        <is>
          <t>2 ก.ค. 2569</t>
        </is>
      </c>
      <c r="C19" s="47" t="inlineStr">
        <is>
          <t>Target</t>
        </is>
      </c>
      <c r="D19" s="48">
        <f>RawData!E5</f>
        <v/>
      </c>
      <c r="E19" s="48">
        <f>RawData!F5</f>
        <v/>
      </c>
      <c r="F19" s="48">
        <f>RawData!G5</f>
        <v/>
      </c>
      <c r="G19" s="48">
        <f>RawData!H5</f>
        <v/>
      </c>
      <c r="H19" s="48">
        <f>RawData!I5</f>
        <v/>
      </c>
      <c r="I19" s="48">
        <f>RawData!J5</f>
        <v/>
      </c>
      <c r="J19" s="48">
        <f>RawData!K5</f>
        <v/>
      </c>
      <c r="K19" s="48">
        <f>RawData!L5</f>
        <v/>
      </c>
      <c r="L19" s="49">
        <f>RawData!M5</f>
        <v/>
      </c>
      <c r="M19" s="50">
        <f>RawData!N5</f>
        <v/>
      </c>
    </row>
    <row r="20">
      <c r="A20" s="51" t="n"/>
      <c r="B20" s="30" t="n"/>
      <c r="C20" s="46" t="inlineStr">
        <is>
          <t>Actual</t>
        </is>
      </c>
      <c r="D20" s="49">
        <f>IF(RawData!A5&lt;TodayDay,RawData!O5,"")</f>
        <v/>
      </c>
      <c r="E20" s="49">
        <f>IF(RawData!A5&lt;TodayDay,RawData!P5,"")</f>
        <v/>
      </c>
      <c r="F20" s="49">
        <f>IF(RawData!A5&lt;TodayDay,RawData!Q5,"")</f>
        <v/>
      </c>
      <c r="G20" s="49">
        <f>IF(RawData!A5&lt;TodayDay,RawData!R5,"")</f>
        <v/>
      </c>
      <c r="H20" s="49">
        <f>IF(RawData!A5&lt;TodayDay,RawData!S5,"")</f>
        <v/>
      </c>
      <c r="I20" s="49">
        <f>IF(RawData!A5&lt;TodayDay,RawData!T5,"")</f>
        <v/>
      </c>
      <c r="J20" s="49">
        <f>IF(RawData!A5&lt;TodayDay,RawData!U5,"")</f>
        <v/>
      </c>
      <c r="K20" s="49">
        <f>IF(RawData!A5&lt;TodayDay,RawData!V5,"")</f>
        <v/>
      </c>
      <c r="L20" s="49">
        <f>IF(RawData!A5&lt;TodayDay,RawData!W5,"")</f>
        <v/>
      </c>
      <c r="M20" s="50">
        <f>IF(RawData!A5&lt;TodayDay,RawData!X5,"")</f>
        <v/>
      </c>
    </row>
    <row r="21">
      <c r="A21" s="51" t="n"/>
      <c r="B21" s="30" t="n"/>
      <c r="C21" s="52" t="inlineStr">
        <is>
          <t>Gap</t>
        </is>
      </c>
      <c r="D21" s="49">
        <f>IF(RawData!A5&lt;TodayDay,D20-D19,"")</f>
        <v/>
      </c>
      <c r="E21" s="49">
        <f>IF(RawData!A5&lt;TodayDay,E20-E19,"")</f>
        <v/>
      </c>
      <c r="F21" s="49">
        <f>IF(RawData!A5&lt;TodayDay,F20-F19,"")</f>
        <v/>
      </c>
      <c r="G21" s="49">
        <f>IF(RawData!A5&lt;TodayDay,G20-G19,"")</f>
        <v/>
      </c>
      <c r="H21" s="49">
        <f>IF(RawData!A5&lt;TodayDay,H20-H19,"")</f>
        <v/>
      </c>
      <c r="I21" s="49">
        <f>IF(RawData!A5&lt;TodayDay,I20-I19,"")</f>
        <v/>
      </c>
      <c r="J21" s="49">
        <f>IF(RawData!A5&lt;TodayDay,J20-J19,"")</f>
        <v/>
      </c>
      <c r="K21" s="49">
        <f>IF(RawData!A5&lt;TodayDay,K20-K19,"")</f>
        <v/>
      </c>
      <c r="L21" s="49">
        <f>IF(RawData!A5&lt;TodayDay,L20-L19,"")</f>
        <v/>
      </c>
      <c r="M21" s="50">
        <f>IF(RawData!A5&lt;TodayDay,M20-M19,"")</f>
        <v/>
      </c>
    </row>
    <row r="22">
      <c r="A22" s="51" t="n"/>
      <c r="B22" s="46" t="inlineStr">
        <is>
          <t>3 ก.ค. 2569</t>
        </is>
      </c>
      <c r="C22" s="47" t="inlineStr">
        <is>
          <t>Target</t>
        </is>
      </c>
      <c r="D22" s="48">
        <f>RawData!E6</f>
        <v/>
      </c>
      <c r="E22" s="48">
        <f>RawData!F6</f>
        <v/>
      </c>
      <c r="F22" s="48">
        <f>RawData!G6</f>
        <v/>
      </c>
      <c r="G22" s="48">
        <f>RawData!H6</f>
        <v/>
      </c>
      <c r="H22" s="48">
        <f>RawData!I6</f>
        <v/>
      </c>
      <c r="I22" s="48">
        <f>RawData!J6</f>
        <v/>
      </c>
      <c r="J22" s="48">
        <f>RawData!K6</f>
        <v/>
      </c>
      <c r="K22" s="48">
        <f>RawData!L6</f>
        <v/>
      </c>
      <c r="L22" s="49">
        <f>RawData!M6</f>
        <v/>
      </c>
      <c r="M22" s="50">
        <f>RawData!N6</f>
        <v/>
      </c>
    </row>
    <row r="23">
      <c r="A23" s="51" t="n"/>
      <c r="B23" s="30" t="n"/>
      <c r="C23" s="46" t="inlineStr">
        <is>
          <t>Actual</t>
        </is>
      </c>
      <c r="D23" s="49">
        <f>IF(RawData!A6&lt;TodayDay,RawData!O6,"")</f>
        <v/>
      </c>
      <c r="E23" s="49">
        <f>IF(RawData!A6&lt;TodayDay,RawData!P6,"")</f>
        <v/>
      </c>
      <c r="F23" s="49">
        <f>IF(RawData!A6&lt;TodayDay,RawData!Q6,"")</f>
        <v/>
      </c>
      <c r="G23" s="49">
        <f>IF(RawData!A6&lt;TodayDay,RawData!R6,"")</f>
        <v/>
      </c>
      <c r="H23" s="49">
        <f>IF(RawData!A6&lt;TodayDay,RawData!S6,"")</f>
        <v/>
      </c>
      <c r="I23" s="49">
        <f>IF(RawData!A6&lt;TodayDay,RawData!T6,"")</f>
        <v/>
      </c>
      <c r="J23" s="49">
        <f>IF(RawData!A6&lt;TodayDay,RawData!U6,"")</f>
        <v/>
      </c>
      <c r="K23" s="49">
        <f>IF(RawData!A6&lt;TodayDay,RawData!V6,"")</f>
        <v/>
      </c>
      <c r="L23" s="49">
        <f>IF(RawData!A6&lt;TodayDay,RawData!W6,"")</f>
        <v/>
      </c>
      <c r="M23" s="50">
        <f>IF(RawData!A6&lt;TodayDay,RawData!X6,"")</f>
        <v/>
      </c>
    </row>
    <row r="24">
      <c r="A24" s="51" t="n"/>
      <c r="B24" s="30" t="n"/>
      <c r="C24" s="52" t="inlineStr">
        <is>
          <t>Gap</t>
        </is>
      </c>
      <c r="D24" s="49">
        <f>IF(RawData!A6&lt;TodayDay,D23-D22,"")</f>
        <v/>
      </c>
      <c r="E24" s="49">
        <f>IF(RawData!A6&lt;TodayDay,E23-E22,"")</f>
        <v/>
      </c>
      <c r="F24" s="49">
        <f>IF(RawData!A6&lt;TodayDay,F23-F22,"")</f>
        <v/>
      </c>
      <c r="G24" s="49">
        <f>IF(RawData!A6&lt;TodayDay,G23-G22,"")</f>
        <v/>
      </c>
      <c r="H24" s="49">
        <f>IF(RawData!A6&lt;TodayDay,H23-H22,"")</f>
        <v/>
      </c>
      <c r="I24" s="49">
        <f>IF(RawData!A6&lt;TodayDay,I23-I22,"")</f>
        <v/>
      </c>
      <c r="J24" s="49">
        <f>IF(RawData!A6&lt;TodayDay,J23-J22,"")</f>
        <v/>
      </c>
      <c r="K24" s="49">
        <f>IF(RawData!A6&lt;TodayDay,K23-K22,"")</f>
        <v/>
      </c>
      <c r="L24" s="49">
        <f>IF(RawData!A6&lt;TodayDay,L23-L22,"")</f>
        <v/>
      </c>
      <c r="M24" s="50">
        <f>IF(RawData!A6&lt;TodayDay,M23-M22,"")</f>
        <v/>
      </c>
    </row>
    <row r="25">
      <c r="A25" s="51" t="n"/>
      <c r="B25" s="53" t="inlineStr">
        <is>
          <t>4 ก.ค. 2569 (วันหยุด)</t>
        </is>
      </c>
      <c r="C25" s="54" t="inlineStr">
        <is>
          <t>Target</t>
        </is>
      </c>
      <c r="D25" s="55">
        <f>RawData!E7</f>
        <v/>
      </c>
      <c r="E25" s="55">
        <f>RawData!F7</f>
        <v/>
      </c>
      <c r="F25" s="55">
        <f>RawData!G7</f>
        <v/>
      </c>
      <c r="G25" s="55">
        <f>RawData!H7</f>
        <v/>
      </c>
      <c r="H25" s="55">
        <f>RawData!I7</f>
        <v/>
      </c>
      <c r="I25" s="55">
        <f>RawData!J7</f>
        <v/>
      </c>
      <c r="J25" s="55">
        <f>RawData!K7</f>
        <v/>
      </c>
      <c r="K25" s="55">
        <f>RawData!L7</f>
        <v/>
      </c>
      <c r="L25" s="56">
        <f>RawData!M7</f>
        <v/>
      </c>
      <c r="M25" s="57">
        <f>RawData!N7</f>
        <v/>
      </c>
    </row>
    <row r="26">
      <c r="A26" s="51" t="n"/>
      <c r="B26" s="58" t="n"/>
      <c r="C26" s="53" t="inlineStr">
        <is>
          <t>Actual</t>
        </is>
      </c>
      <c r="D26" s="56">
        <f>IF(RawData!A7&lt;TodayDay,RawData!O7,"")</f>
        <v/>
      </c>
      <c r="E26" s="56">
        <f>IF(RawData!A7&lt;TodayDay,RawData!P7,"")</f>
        <v/>
      </c>
      <c r="F26" s="56">
        <f>IF(RawData!A7&lt;TodayDay,RawData!Q7,"")</f>
        <v/>
      </c>
      <c r="G26" s="56">
        <f>IF(RawData!A7&lt;TodayDay,RawData!R7,"")</f>
        <v/>
      </c>
      <c r="H26" s="56">
        <f>IF(RawData!A7&lt;TodayDay,RawData!S7,"")</f>
        <v/>
      </c>
      <c r="I26" s="56">
        <f>IF(RawData!A7&lt;TodayDay,RawData!T7,"")</f>
        <v/>
      </c>
      <c r="J26" s="56">
        <f>IF(RawData!A7&lt;TodayDay,RawData!U7,"")</f>
        <v/>
      </c>
      <c r="K26" s="56">
        <f>IF(RawData!A7&lt;TodayDay,RawData!V7,"")</f>
        <v/>
      </c>
      <c r="L26" s="56">
        <f>IF(RawData!A7&lt;TodayDay,RawData!W7,"")</f>
        <v/>
      </c>
      <c r="M26" s="57">
        <f>IF(RawData!A7&lt;TodayDay,RawData!X7,"")</f>
        <v/>
      </c>
    </row>
    <row r="27">
      <c r="A27" s="51" t="n"/>
      <c r="B27" s="58" t="n"/>
      <c r="C27" s="59" t="inlineStr">
        <is>
          <t>Gap</t>
        </is>
      </c>
      <c r="D27" s="56">
        <f>IF(RawData!A7&lt;TodayDay,D26-D25,"")</f>
        <v/>
      </c>
      <c r="E27" s="56">
        <f>IF(RawData!A7&lt;TodayDay,E26-E25,"")</f>
        <v/>
      </c>
      <c r="F27" s="56">
        <f>IF(RawData!A7&lt;TodayDay,F26-F25,"")</f>
        <v/>
      </c>
      <c r="G27" s="56">
        <f>IF(RawData!A7&lt;TodayDay,G26-G25,"")</f>
        <v/>
      </c>
      <c r="H27" s="56">
        <f>IF(RawData!A7&lt;TodayDay,H26-H25,"")</f>
        <v/>
      </c>
      <c r="I27" s="56">
        <f>IF(RawData!A7&lt;TodayDay,I26-I25,"")</f>
        <v/>
      </c>
      <c r="J27" s="56">
        <f>IF(RawData!A7&lt;TodayDay,J26-J25,"")</f>
        <v/>
      </c>
      <c r="K27" s="56">
        <f>IF(RawData!A7&lt;TodayDay,K26-K25,"")</f>
        <v/>
      </c>
      <c r="L27" s="56">
        <f>IF(RawData!A7&lt;TodayDay,L26-L25,"")</f>
        <v/>
      </c>
      <c r="M27" s="57">
        <f>IF(RawData!A7&lt;TodayDay,M26-M25,"")</f>
        <v/>
      </c>
    </row>
    <row r="28">
      <c r="A28" s="51" t="n"/>
      <c r="B28" s="53" t="inlineStr">
        <is>
          <t>5 ก.ค. 2569 (วันหยุด)</t>
        </is>
      </c>
      <c r="C28" s="54" t="inlineStr">
        <is>
          <t>Target</t>
        </is>
      </c>
      <c r="D28" s="55">
        <f>RawData!E8</f>
        <v/>
      </c>
      <c r="E28" s="55">
        <f>RawData!F8</f>
        <v/>
      </c>
      <c r="F28" s="55">
        <f>RawData!G8</f>
        <v/>
      </c>
      <c r="G28" s="55">
        <f>RawData!H8</f>
        <v/>
      </c>
      <c r="H28" s="55">
        <f>RawData!I8</f>
        <v/>
      </c>
      <c r="I28" s="55">
        <f>RawData!J8</f>
        <v/>
      </c>
      <c r="J28" s="55">
        <f>RawData!K8</f>
        <v/>
      </c>
      <c r="K28" s="55">
        <f>RawData!L8</f>
        <v/>
      </c>
      <c r="L28" s="56">
        <f>RawData!M8</f>
        <v/>
      </c>
      <c r="M28" s="57">
        <f>RawData!N8</f>
        <v/>
      </c>
    </row>
    <row r="29">
      <c r="A29" s="51" t="n"/>
      <c r="B29" s="58" t="n"/>
      <c r="C29" s="53" t="inlineStr">
        <is>
          <t>Actual</t>
        </is>
      </c>
      <c r="D29" s="56">
        <f>IF(RawData!A8&lt;TodayDay,RawData!O8,"")</f>
        <v/>
      </c>
      <c r="E29" s="56">
        <f>IF(RawData!A8&lt;TodayDay,RawData!P8,"")</f>
        <v/>
      </c>
      <c r="F29" s="56">
        <f>IF(RawData!A8&lt;TodayDay,RawData!Q8,"")</f>
        <v/>
      </c>
      <c r="G29" s="56">
        <f>IF(RawData!A8&lt;TodayDay,RawData!R8,"")</f>
        <v/>
      </c>
      <c r="H29" s="56">
        <f>IF(RawData!A8&lt;TodayDay,RawData!S8,"")</f>
        <v/>
      </c>
      <c r="I29" s="56">
        <f>IF(RawData!A8&lt;TodayDay,RawData!T8,"")</f>
        <v/>
      </c>
      <c r="J29" s="56">
        <f>IF(RawData!A8&lt;TodayDay,RawData!U8,"")</f>
        <v/>
      </c>
      <c r="K29" s="56">
        <f>IF(RawData!A8&lt;TodayDay,RawData!V8,"")</f>
        <v/>
      </c>
      <c r="L29" s="56">
        <f>IF(RawData!A8&lt;TodayDay,RawData!W8,"")</f>
        <v/>
      </c>
      <c r="M29" s="57">
        <f>IF(RawData!A8&lt;TodayDay,RawData!X8,"")</f>
        <v/>
      </c>
    </row>
    <row r="30">
      <c r="A30" s="60" t="n"/>
      <c r="B30" s="58" t="n"/>
      <c r="C30" s="59" t="inlineStr">
        <is>
          <t>Gap</t>
        </is>
      </c>
      <c r="D30" s="56">
        <f>IF(RawData!A8&lt;TodayDay,D29-D28,"")</f>
        <v/>
      </c>
      <c r="E30" s="56">
        <f>IF(RawData!A8&lt;TodayDay,E29-E28,"")</f>
        <v/>
      </c>
      <c r="F30" s="56">
        <f>IF(RawData!A8&lt;TodayDay,F29-F28,"")</f>
        <v/>
      </c>
      <c r="G30" s="56">
        <f>IF(RawData!A8&lt;TodayDay,G29-G28,"")</f>
        <v/>
      </c>
      <c r="H30" s="56">
        <f>IF(RawData!A8&lt;TodayDay,H29-H28,"")</f>
        <v/>
      </c>
      <c r="I30" s="56">
        <f>IF(RawData!A8&lt;TodayDay,I29-I28,"")</f>
        <v/>
      </c>
      <c r="J30" s="56">
        <f>IF(RawData!A8&lt;TodayDay,J29-J28,"")</f>
        <v/>
      </c>
      <c r="K30" s="56">
        <f>IF(RawData!A8&lt;TodayDay,K29-K28,"")</f>
        <v/>
      </c>
      <c r="L30" s="56">
        <f>IF(RawData!A8&lt;TodayDay,L29-L28,"")</f>
        <v/>
      </c>
      <c r="M30" s="57">
        <f>IF(RawData!A8&lt;TodayDay,M29-M28,"")</f>
        <v/>
      </c>
    </row>
    <row r="31">
      <c r="A31" s="45" t="n">
        <v>28</v>
      </c>
      <c r="B31" s="46" t="inlineStr">
        <is>
          <t>6 ก.ค. 2569</t>
        </is>
      </c>
      <c r="C31" s="47" t="inlineStr">
        <is>
          <t>Target</t>
        </is>
      </c>
      <c r="D31" s="48">
        <f>RawData!E9</f>
        <v/>
      </c>
      <c r="E31" s="48">
        <f>RawData!F9</f>
        <v/>
      </c>
      <c r="F31" s="48">
        <f>RawData!G9</f>
        <v/>
      </c>
      <c r="G31" s="48">
        <f>RawData!H9</f>
        <v/>
      </c>
      <c r="H31" s="48">
        <f>RawData!I9</f>
        <v/>
      </c>
      <c r="I31" s="48">
        <f>RawData!J9</f>
        <v/>
      </c>
      <c r="J31" s="48">
        <f>RawData!K9</f>
        <v/>
      </c>
      <c r="K31" s="48">
        <f>RawData!L9</f>
        <v/>
      </c>
      <c r="L31" s="49">
        <f>RawData!M9</f>
        <v/>
      </c>
      <c r="M31" s="50">
        <f>RawData!N9</f>
        <v/>
      </c>
    </row>
    <row r="32">
      <c r="A32" s="51" t="n"/>
      <c r="B32" s="30" t="n"/>
      <c r="C32" s="46" t="inlineStr">
        <is>
          <t>Actual</t>
        </is>
      </c>
      <c r="D32" s="49">
        <f>IF(RawData!A9&lt;TodayDay,RawData!O9,"")</f>
        <v/>
      </c>
      <c r="E32" s="49">
        <f>IF(RawData!A9&lt;TodayDay,RawData!P9,"")</f>
        <v/>
      </c>
      <c r="F32" s="49">
        <f>IF(RawData!A9&lt;TodayDay,RawData!Q9,"")</f>
        <v/>
      </c>
      <c r="G32" s="49">
        <f>IF(RawData!A9&lt;TodayDay,RawData!R9,"")</f>
        <v/>
      </c>
      <c r="H32" s="49">
        <f>IF(RawData!A9&lt;TodayDay,RawData!S9,"")</f>
        <v/>
      </c>
      <c r="I32" s="49">
        <f>IF(RawData!A9&lt;TodayDay,RawData!T9,"")</f>
        <v/>
      </c>
      <c r="J32" s="49">
        <f>IF(RawData!A9&lt;TodayDay,RawData!U9,"")</f>
        <v/>
      </c>
      <c r="K32" s="49">
        <f>IF(RawData!A9&lt;TodayDay,RawData!V9,"")</f>
        <v/>
      </c>
      <c r="L32" s="49">
        <f>IF(RawData!A9&lt;TodayDay,RawData!W9,"")</f>
        <v/>
      </c>
      <c r="M32" s="50">
        <f>IF(RawData!A9&lt;TodayDay,RawData!X9,"")</f>
        <v/>
      </c>
    </row>
    <row r="33">
      <c r="A33" s="51" t="n"/>
      <c r="B33" s="30" t="n"/>
      <c r="C33" s="52" t="inlineStr">
        <is>
          <t>Gap</t>
        </is>
      </c>
      <c r="D33" s="49">
        <f>IF(RawData!A9&lt;TodayDay,D32-D31,"")</f>
        <v/>
      </c>
      <c r="E33" s="49">
        <f>IF(RawData!A9&lt;TodayDay,E32-E31,"")</f>
        <v/>
      </c>
      <c r="F33" s="49">
        <f>IF(RawData!A9&lt;TodayDay,F32-F31,"")</f>
        <v/>
      </c>
      <c r="G33" s="49">
        <f>IF(RawData!A9&lt;TodayDay,G32-G31,"")</f>
        <v/>
      </c>
      <c r="H33" s="49">
        <f>IF(RawData!A9&lt;TodayDay,H32-H31,"")</f>
        <v/>
      </c>
      <c r="I33" s="49">
        <f>IF(RawData!A9&lt;TodayDay,I32-I31,"")</f>
        <v/>
      </c>
      <c r="J33" s="49">
        <f>IF(RawData!A9&lt;TodayDay,J32-J31,"")</f>
        <v/>
      </c>
      <c r="K33" s="49">
        <f>IF(RawData!A9&lt;TodayDay,K32-K31,"")</f>
        <v/>
      </c>
      <c r="L33" s="49">
        <f>IF(RawData!A9&lt;TodayDay,L32-L31,"")</f>
        <v/>
      </c>
      <c r="M33" s="50">
        <f>IF(RawData!A9&lt;TodayDay,M32-M31,"")</f>
        <v/>
      </c>
    </row>
    <row r="34">
      <c r="A34" s="51" t="n"/>
      <c r="B34" s="46" t="inlineStr">
        <is>
          <t>7 ก.ค. 2569</t>
        </is>
      </c>
      <c r="C34" s="47" t="inlineStr">
        <is>
          <t>Target</t>
        </is>
      </c>
      <c r="D34" s="48">
        <f>RawData!E10</f>
        <v/>
      </c>
      <c r="E34" s="48">
        <f>RawData!F10</f>
        <v/>
      </c>
      <c r="F34" s="48">
        <f>RawData!G10</f>
        <v/>
      </c>
      <c r="G34" s="48">
        <f>RawData!H10</f>
        <v/>
      </c>
      <c r="H34" s="48">
        <f>RawData!I10</f>
        <v/>
      </c>
      <c r="I34" s="48">
        <f>RawData!J10</f>
        <v/>
      </c>
      <c r="J34" s="48">
        <f>RawData!K10</f>
        <v/>
      </c>
      <c r="K34" s="48">
        <f>RawData!L10</f>
        <v/>
      </c>
      <c r="L34" s="49">
        <f>RawData!M10</f>
        <v/>
      </c>
      <c r="M34" s="50">
        <f>RawData!N10</f>
        <v/>
      </c>
    </row>
    <row r="35">
      <c r="A35" s="51" t="n"/>
      <c r="B35" s="30" t="n"/>
      <c r="C35" s="46" t="inlineStr">
        <is>
          <t>Actual</t>
        </is>
      </c>
      <c r="D35" s="49">
        <f>IF(RawData!A10&lt;TodayDay,RawData!O10,"")</f>
        <v/>
      </c>
      <c r="E35" s="49">
        <f>IF(RawData!A10&lt;TodayDay,RawData!P10,"")</f>
        <v/>
      </c>
      <c r="F35" s="49">
        <f>IF(RawData!A10&lt;TodayDay,RawData!Q10,"")</f>
        <v/>
      </c>
      <c r="G35" s="49">
        <f>IF(RawData!A10&lt;TodayDay,RawData!R10,"")</f>
        <v/>
      </c>
      <c r="H35" s="49">
        <f>IF(RawData!A10&lt;TodayDay,RawData!S10,"")</f>
        <v/>
      </c>
      <c r="I35" s="49">
        <f>IF(RawData!A10&lt;TodayDay,RawData!T10,"")</f>
        <v/>
      </c>
      <c r="J35" s="49">
        <f>IF(RawData!A10&lt;TodayDay,RawData!U10,"")</f>
        <v/>
      </c>
      <c r="K35" s="49">
        <f>IF(RawData!A10&lt;TodayDay,RawData!V10,"")</f>
        <v/>
      </c>
      <c r="L35" s="49">
        <f>IF(RawData!A10&lt;TodayDay,RawData!W10,"")</f>
        <v/>
      </c>
      <c r="M35" s="50">
        <f>IF(RawData!A10&lt;TodayDay,RawData!X10,"")</f>
        <v/>
      </c>
    </row>
    <row r="36">
      <c r="A36" s="51" t="n"/>
      <c r="B36" s="30" t="n"/>
      <c r="C36" s="52" t="inlineStr">
        <is>
          <t>Gap</t>
        </is>
      </c>
      <c r="D36" s="49">
        <f>IF(RawData!A10&lt;TodayDay,D35-D34,"")</f>
        <v/>
      </c>
      <c r="E36" s="49">
        <f>IF(RawData!A10&lt;TodayDay,E35-E34,"")</f>
        <v/>
      </c>
      <c r="F36" s="49">
        <f>IF(RawData!A10&lt;TodayDay,F35-F34,"")</f>
        <v/>
      </c>
      <c r="G36" s="49">
        <f>IF(RawData!A10&lt;TodayDay,G35-G34,"")</f>
        <v/>
      </c>
      <c r="H36" s="49">
        <f>IF(RawData!A10&lt;TodayDay,H35-H34,"")</f>
        <v/>
      </c>
      <c r="I36" s="49">
        <f>IF(RawData!A10&lt;TodayDay,I35-I34,"")</f>
        <v/>
      </c>
      <c r="J36" s="49">
        <f>IF(RawData!A10&lt;TodayDay,J35-J34,"")</f>
        <v/>
      </c>
      <c r="K36" s="49">
        <f>IF(RawData!A10&lt;TodayDay,K35-K34,"")</f>
        <v/>
      </c>
      <c r="L36" s="49">
        <f>IF(RawData!A10&lt;TodayDay,L35-L34,"")</f>
        <v/>
      </c>
      <c r="M36" s="50">
        <f>IF(RawData!A10&lt;TodayDay,M35-M34,"")</f>
        <v/>
      </c>
    </row>
    <row r="37">
      <c r="A37" s="51" t="n"/>
      <c r="B37" s="46" t="inlineStr">
        <is>
          <t>8 ก.ค. 2569</t>
        </is>
      </c>
      <c r="C37" s="47" t="inlineStr">
        <is>
          <t>Target</t>
        </is>
      </c>
      <c r="D37" s="48">
        <f>RawData!E11</f>
        <v/>
      </c>
      <c r="E37" s="48">
        <f>RawData!F11</f>
        <v/>
      </c>
      <c r="F37" s="48">
        <f>RawData!G11</f>
        <v/>
      </c>
      <c r="G37" s="48">
        <f>RawData!H11</f>
        <v/>
      </c>
      <c r="H37" s="48">
        <f>RawData!I11</f>
        <v/>
      </c>
      <c r="I37" s="48">
        <f>RawData!J11</f>
        <v/>
      </c>
      <c r="J37" s="48">
        <f>RawData!K11</f>
        <v/>
      </c>
      <c r="K37" s="48">
        <f>RawData!L11</f>
        <v/>
      </c>
      <c r="L37" s="49">
        <f>RawData!M11</f>
        <v/>
      </c>
      <c r="M37" s="50">
        <f>RawData!N11</f>
        <v/>
      </c>
    </row>
    <row r="38">
      <c r="A38" s="51" t="n"/>
      <c r="B38" s="30" t="n"/>
      <c r="C38" s="46" t="inlineStr">
        <is>
          <t>Actual</t>
        </is>
      </c>
      <c r="D38" s="49">
        <f>IF(RawData!A11&lt;TodayDay,RawData!O11,"")</f>
        <v/>
      </c>
      <c r="E38" s="49">
        <f>IF(RawData!A11&lt;TodayDay,RawData!P11,"")</f>
        <v/>
      </c>
      <c r="F38" s="49">
        <f>IF(RawData!A11&lt;TodayDay,RawData!Q11,"")</f>
        <v/>
      </c>
      <c r="G38" s="49">
        <f>IF(RawData!A11&lt;TodayDay,RawData!R11,"")</f>
        <v/>
      </c>
      <c r="H38" s="49">
        <f>IF(RawData!A11&lt;TodayDay,RawData!S11,"")</f>
        <v/>
      </c>
      <c r="I38" s="49">
        <f>IF(RawData!A11&lt;TodayDay,RawData!T11,"")</f>
        <v/>
      </c>
      <c r="J38" s="49">
        <f>IF(RawData!A11&lt;TodayDay,RawData!U11,"")</f>
        <v/>
      </c>
      <c r="K38" s="49">
        <f>IF(RawData!A11&lt;TodayDay,RawData!V11,"")</f>
        <v/>
      </c>
      <c r="L38" s="49">
        <f>IF(RawData!A11&lt;TodayDay,RawData!W11,"")</f>
        <v/>
      </c>
      <c r="M38" s="50">
        <f>IF(RawData!A11&lt;TodayDay,RawData!X11,"")</f>
        <v/>
      </c>
    </row>
    <row r="39">
      <c r="A39" s="51" t="n"/>
      <c r="B39" s="30" t="n"/>
      <c r="C39" s="52" t="inlineStr">
        <is>
          <t>Gap</t>
        </is>
      </c>
      <c r="D39" s="49">
        <f>IF(RawData!A11&lt;TodayDay,D38-D37,"")</f>
        <v/>
      </c>
      <c r="E39" s="49">
        <f>IF(RawData!A11&lt;TodayDay,E38-E37,"")</f>
        <v/>
      </c>
      <c r="F39" s="49">
        <f>IF(RawData!A11&lt;TodayDay,F38-F37,"")</f>
        <v/>
      </c>
      <c r="G39" s="49">
        <f>IF(RawData!A11&lt;TodayDay,G38-G37,"")</f>
        <v/>
      </c>
      <c r="H39" s="49">
        <f>IF(RawData!A11&lt;TodayDay,H38-H37,"")</f>
        <v/>
      </c>
      <c r="I39" s="49">
        <f>IF(RawData!A11&lt;TodayDay,I38-I37,"")</f>
        <v/>
      </c>
      <c r="J39" s="49">
        <f>IF(RawData!A11&lt;TodayDay,J38-J37,"")</f>
        <v/>
      </c>
      <c r="K39" s="49">
        <f>IF(RawData!A11&lt;TodayDay,K38-K37,"")</f>
        <v/>
      </c>
      <c r="L39" s="49">
        <f>IF(RawData!A11&lt;TodayDay,L38-L37,"")</f>
        <v/>
      </c>
      <c r="M39" s="50">
        <f>IF(RawData!A11&lt;TodayDay,M38-M37,"")</f>
        <v/>
      </c>
    </row>
    <row r="40">
      <c r="A40" s="51" t="n"/>
      <c r="B40" s="46" t="inlineStr">
        <is>
          <t>9 ก.ค. 2569</t>
        </is>
      </c>
      <c r="C40" s="47" t="inlineStr">
        <is>
          <t>Target</t>
        </is>
      </c>
      <c r="D40" s="48">
        <f>RawData!E12</f>
        <v/>
      </c>
      <c r="E40" s="48">
        <f>RawData!F12</f>
        <v/>
      </c>
      <c r="F40" s="48">
        <f>RawData!G12</f>
        <v/>
      </c>
      <c r="G40" s="48">
        <f>RawData!H12</f>
        <v/>
      </c>
      <c r="H40" s="48">
        <f>RawData!I12</f>
        <v/>
      </c>
      <c r="I40" s="48">
        <f>RawData!J12</f>
        <v/>
      </c>
      <c r="J40" s="48">
        <f>RawData!K12</f>
        <v/>
      </c>
      <c r="K40" s="48">
        <f>RawData!L12</f>
        <v/>
      </c>
      <c r="L40" s="49">
        <f>RawData!M12</f>
        <v/>
      </c>
      <c r="M40" s="50">
        <f>RawData!N12</f>
        <v/>
      </c>
    </row>
    <row r="41">
      <c r="A41" s="51" t="n"/>
      <c r="B41" s="30" t="n"/>
      <c r="C41" s="46" t="inlineStr">
        <is>
          <t>Actual</t>
        </is>
      </c>
      <c r="D41" s="49">
        <f>IF(RawData!A12&lt;TodayDay,RawData!O12,"")</f>
        <v/>
      </c>
      <c r="E41" s="49">
        <f>IF(RawData!A12&lt;TodayDay,RawData!P12,"")</f>
        <v/>
      </c>
      <c r="F41" s="49">
        <f>IF(RawData!A12&lt;TodayDay,RawData!Q12,"")</f>
        <v/>
      </c>
      <c r="G41" s="49">
        <f>IF(RawData!A12&lt;TodayDay,RawData!R12,"")</f>
        <v/>
      </c>
      <c r="H41" s="49">
        <f>IF(RawData!A12&lt;TodayDay,RawData!S12,"")</f>
        <v/>
      </c>
      <c r="I41" s="49">
        <f>IF(RawData!A12&lt;TodayDay,RawData!T12,"")</f>
        <v/>
      </c>
      <c r="J41" s="49">
        <f>IF(RawData!A12&lt;TodayDay,RawData!U12,"")</f>
        <v/>
      </c>
      <c r="K41" s="49">
        <f>IF(RawData!A12&lt;TodayDay,RawData!V12,"")</f>
        <v/>
      </c>
      <c r="L41" s="49">
        <f>IF(RawData!A12&lt;TodayDay,RawData!W12,"")</f>
        <v/>
      </c>
      <c r="M41" s="50">
        <f>IF(RawData!A12&lt;TodayDay,RawData!X12,"")</f>
        <v/>
      </c>
    </row>
    <row r="42">
      <c r="A42" s="51" t="n"/>
      <c r="B42" s="30" t="n"/>
      <c r="C42" s="52" t="inlineStr">
        <is>
          <t>Gap</t>
        </is>
      </c>
      <c r="D42" s="49">
        <f>IF(RawData!A12&lt;TodayDay,D41-D40,"")</f>
        <v/>
      </c>
      <c r="E42" s="49">
        <f>IF(RawData!A12&lt;TodayDay,E41-E40,"")</f>
        <v/>
      </c>
      <c r="F42" s="49">
        <f>IF(RawData!A12&lt;TodayDay,F41-F40,"")</f>
        <v/>
      </c>
      <c r="G42" s="49">
        <f>IF(RawData!A12&lt;TodayDay,G41-G40,"")</f>
        <v/>
      </c>
      <c r="H42" s="49">
        <f>IF(RawData!A12&lt;TodayDay,H41-H40,"")</f>
        <v/>
      </c>
      <c r="I42" s="49">
        <f>IF(RawData!A12&lt;TodayDay,I41-I40,"")</f>
        <v/>
      </c>
      <c r="J42" s="49">
        <f>IF(RawData!A12&lt;TodayDay,J41-J40,"")</f>
        <v/>
      </c>
      <c r="K42" s="49">
        <f>IF(RawData!A12&lt;TodayDay,K41-K40,"")</f>
        <v/>
      </c>
      <c r="L42" s="49">
        <f>IF(RawData!A12&lt;TodayDay,L41-L40,"")</f>
        <v/>
      </c>
      <c r="M42" s="50">
        <f>IF(RawData!A12&lt;TodayDay,M41-M40,"")</f>
        <v/>
      </c>
    </row>
    <row r="43">
      <c r="A43" s="51" t="n"/>
      <c r="B43" s="46" t="inlineStr">
        <is>
          <t>10 ก.ค. 2569</t>
        </is>
      </c>
      <c r="C43" s="47" t="inlineStr">
        <is>
          <t>Target</t>
        </is>
      </c>
      <c r="D43" s="48">
        <f>RawData!E13</f>
        <v/>
      </c>
      <c r="E43" s="48">
        <f>RawData!F13</f>
        <v/>
      </c>
      <c r="F43" s="48">
        <f>RawData!G13</f>
        <v/>
      </c>
      <c r="G43" s="48">
        <f>RawData!H13</f>
        <v/>
      </c>
      <c r="H43" s="48">
        <f>RawData!I13</f>
        <v/>
      </c>
      <c r="I43" s="48">
        <f>RawData!J13</f>
        <v/>
      </c>
      <c r="J43" s="48">
        <f>RawData!K13</f>
        <v/>
      </c>
      <c r="K43" s="48">
        <f>RawData!L13</f>
        <v/>
      </c>
      <c r="L43" s="49">
        <f>RawData!M13</f>
        <v/>
      </c>
      <c r="M43" s="50">
        <f>RawData!N13</f>
        <v/>
      </c>
    </row>
    <row r="44">
      <c r="A44" s="51" t="n"/>
      <c r="B44" s="30" t="n"/>
      <c r="C44" s="46" t="inlineStr">
        <is>
          <t>Actual</t>
        </is>
      </c>
      <c r="D44" s="49">
        <f>IF(RawData!A13&lt;TodayDay,RawData!O13,"")</f>
        <v/>
      </c>
      <c r="E44" s="49">
        <f>IF(RawData!A13&lt;TodayDay,RawData!P13,"")</f>
        <v/>
      </c>
      <c r="F44" s="49">
        <f>IF(RawData!A13&lt;TodayDay,RawData!Q13,"")</f>
        <v/>
      </c>
      <c r="G44" s="49">
        <f>IF(RawData!A13&lt;TodayDay,RawData!R13,"")</f>
        <v/>
      </c>
      <c r="H44" s="49">
        <f>IF(RawData!A13&lt;TodayDay,RawData!S13,"")</f>
        <v/>
      </c>
      <c r="I44" s="49">
        <f>IF(RawData!A13&lt;TodayDay,RawData!T13,"")</f>
        <v/>
      </c>
      <c r="J44" s="49">
        <f>IF(RawData!A13&lt;TodayDay,RawData!U13,"")</f>
        <v/>
      </c>
      <c r="K44" s="49">
        <f>IF(RawData!A13&lt;TodayDay,RawData!V13,"")</f>
        <v/>
      </c>
      <c r="L44" s="49">
        <f>IF(RawData!A13&lt;TodayDay,RawData!W13,"")</f>
        <v/>
      </c>
      <c r="M44" s="50">
        <f>IF(RawData!A13&lt;TodayDay,RawData!X13,"")</f>
        <v/>
      </c>
    </row>
    <row r="45">
      <c r="A45" s="51" t="n"/>
      <c r="B45" s="30" t="n"/>
      <c r="C45" s="52" t="inlineStr">
        <is>
          <t>Gap</t>
        </is>
      </c>
      <c r="D45" s="49">
        <f>IF(RawData!A13&lt;TodayDay,D44-D43,"")</f>
        <v/>
      </c>
      <c r="E45" s="49">
        <f>IF(RawData!A13&lt;TodayDay,E44-E43,"")</f>
        <v/>
      </c>
      <c r="F45" s="49">
        <f>IF(RawData!A13&lt;TodayDay,F44-F43,"")</f>
        <v/>
      </c>
      <c r="G45" s="49">
        <f>IF(RawData!A13&lt;TodayDay,G44-G43,"")</f>
        <v/>
      </c>
      <c r="H45" s="49">
        <f>IF(RawData!A13&lt;TodayDay,H44-H43,"")</f>
        <v/>
      </c>
      <c r="I45" s="49">
        <f>IF(RawData!A13&lt;TodayDay,I44-I43,"")</f>
        <v/>
      </c>
      <c r="J45" s="49">
        <f>IF(RawData!A13&lt;TodayDay,J44-J43,"")</f>
        <v/>
      </c>
      <c r="K45" s="49">
        <f>IF(RawData!A13&lt;TodayDay,K44-K43,"")</f>
        <v/>
      </c>
      <c r="L45" s="49">
        <f>IF(RawData!A13&lt;TodayDay,L44-L43,"")</f>
        <v/>
      </c>
      <c r="M45" s="50">
        <f>IF(RawData!A13&lt;TodayDay,M44-M43,"")</f>
        <v/>
      </c>
    </row>
    <row r="46">
      <c r="A46" s="51" t="n"/>
      <c r="B46" s="53" t="inlineStr">
        <is>
          <t>11 ก.ค. 2569 (วันหยุด)</t>
        </is>
      </c>
      <c r="C46" s="54" t="inlineStr">
        <is>
          <t>Target</t>
        </is>
      </c>
      <c r="D46" s="55">
        <f>RawData!E14</f>
        <v/>
      </c>
      <c r="E46" s="55">
        <f>RawData!F14</f>
        <v/>
      </c>
      <c r="F46" s="55">
        <f>RawData!G14</f>
        <v/>
      </c>
      <c r="G46" s="55">
        <f>RawData!H14</f>
        <v/>
      </c>
      <c r="H46" s="55">
        <f>RawData!I14</f>
        <v/>
      </c>
      <c r="I46" s="55">
        <f>RawData!J14</f>
        <v/>
      </c>
      <c r="J46" s="55">
        <f>RawData!K14</f>
        <v/>
      </c>
      <c r="K46" s="55">
        <f>RawData!L14</f>
        <v/>
      </c>
      <c r="L46" s="56">
        <f>RawData!M14</f>
        <v/>
      </c>
      <c r="M46" s="57">
        <f>RawData!N14</f>
        <v/>
      </c>
    </row>
    <row r="47">
      <c r="A47" s="51" t="n"/>
      <c r="B47" s="58" t="n"/>
      <c r="C47" s="53" t="inlineStr">
        <is>
          <t>Actual</t>
        </is>
      </c>
      <c r="D47" s="56">
        <f>IF(RawData!A14&lt;TodayDay,RawData!O14,"")</f>
        <v/>
      </c>
      <c r="E47" s="56">
        <f>IF(RawData!A14&lt;TodayDay,RawData!P14,"")</f>
        <v/>
      </c>
      <c r="F47" s="56">
        <f>IF(RawData!A14&lt;TodayDay,RawData!Q14,"")</f>
        <v/>
      </c>
      <c r="G47" s="56">
        <f>IF(RawData!A14&lt;TodayDay,RawData!R14,"")</f>
        <v/>
      </c>
      <c r="H47" s="56">
        <f>IF(RawData!A14&lt;TodayDay,RawData!S14,"")</f>
        <v/>
      </c>
      <c r="I47" s="56">
        <f>IF(RawData!A14&lt;TodayDay,RawData!T14,"")</f>
        <v/>
      </c>
      <c r="J47" s="56">
        <f>IF(RawData!A14&lt;TodayDay,RawData!U14,"")</f>
        <v/>
      </c>
      <c r="K47" s="56">
        <f>IF(RawData!A14&lt;TodayDay,RawData!V14,"")</f>
        <v/>
      </c>
      <c r="L47" s="56">
        <f>IF(RawData!A14&lt;TodayDay,RawData!W14,"")</f>
        <v/>
      </c>
      <c r="M47" s="57">
        <f>IF(RawData!A14&lt;TodayDay,RawData!X14,"")</f>
        <v/>
      </c>
    </row>
    <row r="48">
      <c r="A48" s="51" t="n"/>
      <c r="B48" s="58" t="n"/>
      <c r="C48" s="59" t="inlineStr">
        <is>
          <t>Gap</t>
        </is>
      </c>
      <c r="D48" s="56">
        <f>IF(RawData!A14&lt;TodayDay,D47-D46,"")</f>
        <v/>
      </c>
      <c r="E48" s="56">
        <f>IF(RawData!A14&lt;TodayDay,E47-E46,"")</f>
        <v/>
      </c>
      <c r="F48" s="56">
        <f>IF(RawData!A14&lt;TodayDay,F47-F46,"")</f>
        <v/>
      </c>
      <c r="G48" s="56">
        <f>IF(RawData!A14&lt;TodayDay,G47-G46,"")</f>
        <v/>
      </c>
      <c r="H48" s="56">
        <f>IF(RawData!A14&lt;TodayDay,H47-H46,"")</f>
        <v/>
      </c>
      <c r="I48" s="56">
        <f>IF(RawData!A14&lt;TodayDay,I47-I46,"")</f>
        <v/>
      </c>
      <c r="J48" s="56">
        <f>IF(RawData!A14&lt;TodayDay,J47-J46,"")</f>
        <v/>
      </c>
      <c r="K48" s="56">
        <f>IF(RawData!A14&lt;TodayDay,K47-K46,"")</f>
        <v/>
      </c>
      <c r="L48" s="56">
        <f>IF(RawData!A14&lt;TodayDay,L47-L46,"")</f>
        <v/>
      </c>
      <c r="M48" s="57">
        <f>IF(RawData!A14&lt;TodayDay,M47-M46,"")</f>
        <v/>
      </c>
    </row>
    <row r="49">
      <c r="A49" s="51" t="n"/>
      <c r="B49" s="53" t="inlineStr">
        <is>
          <t>12 ก.ค. 2569 (วันหยุด)</t>
        </is>
      </c>
      <c r="C49" s="54" t="inlineStr">
        <is>
          <t>Target</t>
        </is>
      </c>
      <c r="D49" s="55">
        <f>RawData!E15</f>
        <v/>
      </c>
      <c r="E49" s="55">
        <f>RawData!F15</f>
        <v/>
      </c>
      <c r="F49" s="55">
        <f>RawData!G15</f>
        <v/>
      </c>
      <c r="G49" s="55">
        <f>RawData!H15</f>
        <v/>
      </c>
      <c r="H49" s="55">
        <f>RawData!I15</f>
        <v/>
      </c>
      <c r="I49" s="55">
        <f>RawData!J15</f>
        <v/>
      </c>
      <c r="J49" s="55">
        <f>RawData!K15</f>
        <v/>
      </c>
      <c r="K49" s="55">
        <f>RawData!L15</f>
        <v/>
      </c>
      <c r="L49" s="56">
        <f>RawData!M15</f>
        <v/>
      </c>
      <c r="M49" s="57">
        <f>RawData!N15</f>
        <v/>
      </c>
    </row>
    <row r="50">
      <c r="A50" s="51" t="n"/>
      <c r="B50" s="58" t="n"/>
      <c r="C50" s="53" t="inlineStr">
        <is>
          <t>Actual</t>
        </is>
      </c>
      <c r="D50" s="56">
        <f>IF(RawData!A15&lt;TodayDay,RawData!O15,"")</f>
        <v/>
      </c>
      <c r="E50" s="56">
        <f>IF(RawData!A15&lt;TodayDay,RawData!P15,"")</f>
        <v/>
      </c>
      <c r="F50" s="56">
        <f>IF(RawData!A15&lt;TodayDay,RawData!Q15,"")</f>
        <v/>
      </c>
      <c r="G50" s="56">
        <f>IF(RawData!A15&lt;TodayDay,RawData!R15,"")</f>
        <v/>
      </c>
      <c r="H50" s="56">
        <f>IF(RawData!A15&lt;TodayDay,RawData!S15,"")</f>
        <v/>
      </c>
      <c r="I50" s="56">
        <f>IF(RawData!A15&lt;TodayDay,RawData!T15,"")</f>
        <v/>
      </c>
      <c r="J50" s="56">
        <f>IF(RawData!A15&lt;TodayDay,RawData!U15,"")</f>
        <v/>
      </c>
      <c r="K50" s="56">
        <f>IF(RawData!A15&lt;TodayDay,RawData!V15,"")</f>
        <v/>
      </c>
      <c r="L50" s="56">
        <f>IF(RawData!A15&lt;TodayDay,RawData!W15,"")</f>
        <v/>
      </c>
      <c r="M50" s="57">
        <f>IF(RawData!A15&lt;TodayDay,RawData!X15,"")</f>
        <v/>
      </c>
    </row>
    <row r="51">
      <c r="A51" s="60" t="n"/>
      <c r="B51" s="58" t="n"/>
      <c r="C51" s="59" t="inlineStr">
        <is>
          <t>Gap</t>
        </is>
      </c>
      <c r="D51" s="56">
        <f>IF(RawData!A15&lt;TodayDay,D50-D49,"")</f>
        <v/>
      </c>
      <c r="E51" s="56">
        <f>IF(RawData!A15&lt;TodayDay,E50-E49,"")</f>
        <v/>
      </c>
      <c r="F51" s="56">
        <f>IF(RawData!A15&lt;TodayDay,F50-F49,"")</f>
        <v/>
      </c>
      <c r="G51" s="56">
        <f>IF(RawData!A15&lt;TodayDay,G50-G49,"")</f>
        <v/>
      </c>
      <c r="H51" s="56">
        <f>IF(RawData!A15&lt;TodayDay,H50-H49,"")</f>
        <v/>
      </c>
      <c r="I51" s="56">
        <f>IF(RawData!A15&lt;TodayDay,I50-I49,"")</f>
        <v/>
      </c>
      <c r="J51" s="56">
        <f>IF(RawData!A15&lt;TodayDay,J50-J49,"")</f>
        <v/>
      </c>
      <c r="K51" s="56">
        <f>IF(RawData!A15&lt;TodayDay,K50-K49,"")</f>
        <v/>
      </c>
      <c r="L51" s="56">
        <f>IF(RawData!A15&lt;TodayDay,L50-L49,"")</f>
        <v/>
      </c>
      <c r="M51" s="57">
        <f>IF(RawData!A15&lt;TodayDay,M50-M49,"")</f>
        <v/>
      </c>
    </row>
    <row r="52">
      <c r="A52" s="45" t="n">
        <v>29</v>
      </c>
      <c r="B52" s="46" t="inlineStr">
        <is>
          <t>13 ก.ค. 2569</t>
        </is>
      </c>
      <c r="C52" s="47" t="inlineStr">
        <is>
          <t>Target</t>
        </is>
      </c>
      <c r="D52" s="48">
        <f>RawData!E16</f>
        <v/>
      </c>
      <c r="E52" s="48">
        <f>RawData!F16</f>
        <v/>
      </c>
      <c r="F52" s="48">
        <f>RawData!G16</f>
        <v/>
      </c>
      <c r="G52" s="48">
        <f>RawData!H16</f>
        <v/>
      </c>
      <c r="H52" s="48">
        <f>RawData!I16</f>
        <v/>
      </c>
      <c r="I52" s="48">
        <f>RawData!J16</f>
        <v/>
      </c>
      <c r="J52" s="48">
        <f>RawData!K16</f>
        <v/>
      </c>
      <c r="K52" s="48">
        <f>RawData!L16</f>
        <v/>
      </c>
      <c r="L52" s="49">
        <f>RawData!M16</f>
        <v/>
      </c>
      <c r="M52" s="50">
        <f>RawData!N16</f>
        <v/>
      </c>
    </row>
    <row r="53">
      <c r="A53" s="51" t="n"/>
      <c r="B53" s="30" t="n"/>
      <c r="C53" s="46" t="inlineStr">
        <is>
          <t>Actual</t>
        </is>
      </c>
      <c r="D53" s="49">
        <f>IF(RawData!A16&lt;TodayDay,RawData!O16,"")</f>
        <v/>
      </c>
      <c r="E53" s="49">
        <f>IF(RawData!A16&lt;TodayDay,RawData!P16,"")</f>
        <v/>
      </c>
      <c r="F53" s="49">
        <f>IF(RawData!A16&lt;TodayDay,RawData!Q16,"")</f>
        <v/>
      </c>
      <c r="G53" s="49">
        <f>IF(RawData!A16&lt;TodayDay,RawData!R16,"")</f>
        <v/>
      </c>
      <c r="H53" s="49">
        <f>IF(RawData!A16&lt;TodayDay,RawData!S16,"")</f>
        <v/>
      </c>
      <c r="I53" s="49">
        <f>IF(RawData!A16&lt;TodayDay,RawData!T16,"")</f>
        <v/>
      </c>
      <c r="J53" s="49">
        <f>IF(RawData!A16&lt;TodayDay,RawData!U16,"")</f>
        <v/>
      </c>
      <c r="K53" s="49">
        <f>IF(RawData!A16&lt;TodayDay,RawData!V16,"")</f>
        <v/>
      </c>
      <c r="L53" s="49">
        <f>IF(RawData!A16&lt;TodayDay,RawData!W16,"")</f>
        <v/>
      </c>
      <c r="M53" s="50">
        <f>IF(RawData!A16&lt;TodayDay,RawData!X16,"")</f>
        <v/>
      </c>
    </row>
    <row r="54">
      <c r="A54" s="51" t="n"/>
      <c r="B54" s="30" t="n"/>
      <c r="C54" s="52" t="inlineStr">
        <is>
          <t>Gap</t>
        </is>
      </c>
      <c r="D54" s="49">
        <f>IF(RawData!A16&lt;TodayDay,D53-D52,"")</f>
        <v/>
      </c>
      <c r="E54" s="49">
        <f>IF(RawData!A16&lt;TodayDay,E53-E52,"")</f>
        <v/>
      </c>
      <c r="F54" s="49">
        <f>IF(RawData!A16&lt;TodayDay,F53-F52,"")</f>
        <v/>
      </c>
      <c r="G54" s="49">
        <f>IF(RawData!A16&lt;TodayDay,G53-G52,"")</f>
        <v/>
      </c>
      <c r="H54" s="49">
        <f>IF(RawData!A16&lt;TodayDay,H53-H52,"")</f>
        <v/>
      </c>
      <c r="I54" s="49">
        <f>IF(RawData!A16&lt;TodayDay,I53-I52,"")</f>
        <v/>
      </c>
      <c r="J54" s="49">
        <f>IF(RawData!A16&lt;TodayDay,J53-J52,"")</f>
        <v/>
      </c>
      <c r="K54" s="49">
        <f>IF(RawData!A16&lt;TodayDay,K53-K52,"")</f>
        <v/>
      </c>
      <c r="L54" s="49">
        <f>IF(RawData!A16&lt;TodayDay,L53-L52,"")</f>
        <v/>
      </c>
      <c r="M54" s="50">
        <f>IF(RawData!A16&lt;TodayDay,M53-M52,"")</f>
        <v/>
      </c>
    </row>
    <row r="55">
      <c r="A55" s="51" t="n"/>
      <c r="B55" s="46" t="inlineStr">
        <is>
          <t>14 ก.ค. 2569</t>
        </is>
      </c>
      <c r="C55" s="47" t="inlineStr">
        <is>
          <t>Target</t>
        </is>
      </c>
      <c r="D55" s="48">
        <f>RawData!E17</f>
        <v/>
      </c>
      <c r="E55" s="48">
        <f>RawData!F17</f>
        <v/>
      </c>
      <c r="F55" s="48">
        <f>RawData!G17</f>
        <v/>
      </c>
      <c r="G55" s="48">
        <f>RawData!H17</f>
        <v/>
      </c>
      <c r="H55" s="48">
        <f>RawData!I17</f>
        <v/>
      </c>
      <c r="I55" s="48">
        <f>RawData!J17</f>
        <v/>
      </c>
      <c r="J55" s="48">
        <f>RawData!K17</f>
        <v/>
      </c>
      <c r="K55" s="48">
        <f>RawData!L17</f>
        <v/>
      </c>
      <c r="L55" s="49">
        <f>RawData!M17</f>
        <v/>
      </c>
      <c r="M55" s="50">
        <f>RawData!N17</f>
        <v/>
      </c>
    </row>
    <row r="56">
      <c r="A56" s="51" t="n"/>
      <c r="B56" s="30" t="n"/>
      <c r="C56" s="46" t="inlineStr">
        <is>
          <t>Actual</t>
        </is>
      </c>
      <c r="D56" s="49">
        <f>IF(RawData!A17&lt;TodayDay,RawData!O17,"")</f>
        <v/>
      </c>
      <c r="E56" s="49">
        <f>IF(RawData!A17&lt;TodayDay,RawData!P17,"")</f>
        <v/>
      </c>
      <c r="F56" s="49">
        <f>IF(RawData!A17&lt;TodayDay,RawData!Q17,"")</f>
        <v/>
      </c>
      <c r="G56" s="49">
        <f>IF(RawData!A17&lt;TodayDay,RawData!R17,"")</f>
        <v/>
      </c>
      <c r="H56" s="49">
        <f>IF(RawData!A17&lt;TodayDay,RawData!S17,"")</f>
        <v/>
      </c>
      <c r="I56" s="49">
        <f>IF(RawData!A17&lt;TodayDay,RawData!T17,"")</f>
        <v/>
      </c>
      <c r="J56" s="49">
        <f>IF(RawData!A17&lt;TodayDay,RawData!U17,"")</f>
        <v/>
      </c>
      <c r="K56" s="49">
        <f>IF(RawData!A17&lt;TodayDay,RawData!V17,"")</f>
        <v/>
      </c>
      <c r="L56" s="49">
        <f>IF(RawData!A17&lt;TodayDay,RawData!W17,"")</f>
        <v/>
      </c>
      <c r="M56" s="50">
        <f>IF(RawData!A17&lt;TodayDay,RawData!X17,"")</f>
        <v/>
      </c>
    </row>
    <row r="57">
      <c r="A57" s="51" t="n"/>
      <c r="B57" s="30" t="n"/>
      <c r="C57" s="52" t="inlineStr">
        <is>
          <t>Gap</t>
        </is>
      </c>
      <c r="D57" s="49">
        <f>IF(RawData!A17&lt;TodayDay,D56-D55,"")</f>
        <v/>
      </c>
      <c r="E57" s="49">
        <f>IF(RawData!A17&lt;TodayDay,E56-E55,"")</f>
        <v/>
      </c>
      <c r="F57" s="49">
        <f>IF(RawData!A17&lt;TodayDay,F56-F55,"")</f>
        <v/>
      </c>
      <c r="G57" s="49">
        <f>IF(RawData!A17&lt;TodayDay,G56-G55,"")</f>
        <v/>
      </c>
      <c r="H57" s="49">
        <f>IF(RawData!A17&lt;TodayDay,H56-H55,"")</f>
        <v/>
      </c>
      <c r="I57" s="49">
        <f>IF(RawData!A17&lt;TodayDay,I56-I55,"")</f>
        <v/>
      </c>
      <c r="J57" s="49">
        <f>IF(RawData!A17&lt;TodayDay,J56-J55,"")</f>
        <v/>
      </c>
      <c r="K57" s="49">
        <f>IF(RawData!A17&lt;TodayDay,K56-K55,"")</f>
        <v/>
      </c>
      <c r="L57" s="49">
        <f>IF(RawData!A17&lt;TodayDay,L56-L55,"")</f>
        <v/>
      </c>
      <c r="M57" s="50">
        <f>IF(RawData!A17&lt;TodayDay,M56-M55,"")</f>
        <v/>
      </c>
    </row>
    <row r="58">
      <c r="A58" s="51" t="n"/>
      <c r="B58" s="46" t="inlineStr">
        <is>
          <t>15 ก.ค. 2569</t>
        </is>
      </c>
      <c r="C58" s="47" t="inlineStr">
        <is>
          <t>Target</t>
        </is>
      </c>
      <c r="D58" s="48">
        <f>RawData!E18</f>
        <v/>
      </c>
      <c r="E58" s="48">
        <f>RawData!F18</f>
        <v/>
      </c>
      <c r="F58" s="48">
        <f>RawData!G18</f>
        <v/>
      </c>
      <c r="G58" s="48">
        <f>RawData!H18</f>
        <v/>
      </c>
      <c r="H58" s="48">
        <f>RawData!I18</f>
        <v/>
      </c>
      <c r="I58" s="48">
        <f>RawData!J18</f>
        <v/>
      </c>
      <c r="J58" s="48">
        <f>RawData!K18</f>
        <v/>
      </c>
      <c r="K58" s="48">
        <f>RawData!L18</f>
        <v/>
      </c>
      <c r="L58" s="49">
        <f>RawData!M18</f>
        <v/>
      </c>
      <c r="M58" s="50">
        <f>RawData!N18</f>
        <v/>
      </c>
    </row>
    <row r="59">
      <c r="A59" s="51" t="n"/>
      <c r="B59" s="30" t="n"/>
      <c r="C59" s="46" t="inlineStr">
        <is>
          <t>Actual</t>
        </is>
      </c>
      <c r="D59" s="49">
        <f>IF(RawData!A18&lt;TodayDay,RawData!O18,"")</f>
        <v/>
      </c>
      <c r="E59" s="49">
        <f>IF(RawData!A18&lt;TodayDay,RawData!P18,"")</f>
        <v/>
      </c>
      <c r="F59" s="49">
        <f>IF(RawData!A18&lt;TodayDay,RawData!Q18,"")</f>
        <v/>
      </c>
      <c r="G59" s="49">
        <f>IF(RawData!A18&lt;TodayDay,RawData!R18,"")</f>
        <v/>
      </c>
      <c r="H59" s="49">
        <f>IF(RawData!A18&lt;TodayDay,RawData!S18,"")</f>
        <v/>
      </c>
      <c r="I59" s="49">
        <f>IF(RawData!A18&lt;TodayDay,RawData!T18,"")</f>
        <v/>
      </c>
      <c r="J59" s="49">
        <f>IF(RawData!A18&lt;TodayDay,RawData!U18,"")</f>
        <v/>
      </c>
      <c r="K59" s="49">
        <f>IF(RawData!A18&lt;TodayDay,RawData!V18,"")</f>
        <v/>
      </c>
      <c r="L59" s="49">
        <f>IF(RawData!A18&lt;TodayDay,RawData!W18,"")</f>
        <v/>
      </c>
      <c r="M59" s="50">
        <f>IF(RawData!A18&lt;TodayDay,RawData!X18,"")</f>
        <v/>
      </c>
    </row>
    <row r="60">
      <c r="A60" s="51" t="n"/>
      <c r="B60" s="30" t="n"/>
      <c r="C60" s="52" t="inlineStr">
        <is>
          <t>Gap</t>
        </is>
      </c>
      <c r="D60" s="49">
        <f>IF(RawData!A18&lt;TodayDay,D59-D58,"")</f>
        <v/>
      </c>
      <c r="E60" s="49">
        <f>IF(RawData!A18&lt;TodayDay,E59-E58,"")</f>
        <v/>
      </c>
      <c r="F60" s="49">
        <f>IF(RawData!A18&lt;TodayDay,F59-F58,"")</f>
        <v/>
      </c>
      <c r="G60" s="49">
        <f>IF(RawData!A18&lt;TodayDay,G59-G58,"")</f>
        <v/>
      </c>
      <c r="H60" s="49">
        <f>IF(RawData!A18&lt;TodayDay,H59-H58,"")</f>
        <v/>
      </c>
      <c r="I60" s="49">
        <f>IF(RawData!A18&lt;TodayDay,I59-I58,"")</f>
        <v/>
      </c>
      <c r="J60" s="49">
        <f>IF(RawData!A18&lt;TodayDay,J59-J58,"")</f>
        <v/>
      </c>
      <c r="K60" s="49">
        <f>IF(RawData!A18&lt;TodayDay,K59-K58,"")</f>
        <v/>
      </c>
      <c r="L60" s="49">
        <f>IF(RawData!A18&lt;TodayDay,L59-L58,"")</f>
        <v/>
      </c>
      <c r="M60" s="50">
        <f>IF(RawData!A18&lt;TodayDay,M59-M58,"")</f>
        <v/>
      </c>
    </row>
    <row r="61">
      <c r="A61" s="51" t="n"/>
      <c r="B61" s="46" t="inlineStr">
        <is>
          <t>16 ก.ค. 2569</t>
        </is>
      </c>
      <c r="C61" s="47" t="inlineStr">
        <is>
          <t>Target</t>
        </is>
      </c>
      <c r="D61" s="48">
        <f>RawData!E19</f>
        <v/>
      </c>
      <c r="E61" s="48">
        <f>RawData!F19</f>
        <v/>
      </c>
      <c r="F61" s="48">
        <f>RawData!G19</f>
        <v/>
      </c>
      <c r="G61" s="48">
        <f>RawData!H19</f>
        <v/>
      </c>
      <c r="H61" s="48">
        <f>RawData!I19</f>
        <v/>
      </c>
      <c r="I61" s="48">
        <f>RawData!J19</f>
        <v/>
      </c>
      <c r="J61" s="48">
        <f>RawData!K19</f>
        <v/>
      </c>
      <c r="K61" s="48">
        <f>RawData!L19</f>
        <v/>
      </c>
      <c r="L61" s="49">
        <f>RawData!M19</f>
        <v/>
      </c>
      <c r="M61" s="50">
        <f>RawData!N19</f>
        <v/>
      </c>
    </row>
    <row r="62">
      <c r="A62" s="51" t="n"/>
      <c r="B62" s="30" t="n"/>
      <c r="C62" s="46" t="inlineStr">
        <is>
          <t>Actual</t>
        </is>
      </c>
      <c r="D62" s="49">
        <f>IF(RawData!A19&lt;TodayDay,RawData!O19,"")</f>
        <v/>
      </c>
      <c r="E62" s="49">
        <f>IF(RawData!A19&lt;TodayDay,RawData!P19,"")</f>
        <v/>
      </c>
      <c r="F62" s="49">
        <f>IF(RawData!A19&lt;TodayDay,RawData!Q19,"")</f>
        <v/>
      </c>
      <c r="G62" s="49">
        <f>IF(RawData!A19&lt;TodayDay,RawData!R19,"")</f>
        <v/>
      </c>
      <c r="H62" s="49">
        <f>IF(RawData!A19&lt;TodayDay,RawData!S19,"")</f>
        <v/>
      </c>
      <c r="I62" s="49">
        <f>IF(RawData!A19&lt;TodayDay,RawData!T19,"")</f>
        <v/>
      </c>
      <c r="J62" s="49">
        <f>IF(RawData!A19&lt;TodayDay,RawData!U19,"")</f>
        <v/>
      </c>
      <c r="K62" s="49">
        <f>IF(RawData!A19&lt;TodayDay,RawData!V19,"")</f>
        <v/>
      </c>
      <c r="L62" s="49">
        <f>IF(RawData!A19&lt;TodayDay,RawData!W19,"")</f>
        <v/>
      </c>
      <c r="M62" s="50">
        <f>IF(RawData!A19&lt;TodayDay,RawData!X19,"")</f>
        <v/>
      </c>
    </row>
    <row r="63">
      <c r="A63" s="51" t="n"/>
      <c r="B63" s="30" t="n"/>
      <c r="C63" s="52" t="inlineStr">
        <is>
          <t>Gap</t>
        </is>
      </c>
      <c r="D63" s="49">
        <f>IF(RawData!A19&lt;TodayDay,D62-D61,"")</f>
        <v/>
      </c>
      <c r="E63" s="49">
        <f>IF(RawData!A19&lt;TodayDay,E62-E61,"")</f>
        <v/>
      </c>
      <c r="F63" s="49">
        <f>IF(RawData!A19&lt;TodayDay,F62-F61,"")</f>
        <v/>
      </c>
      <c r="G63" s="49">
        <f>IF(RawData!A19&lt;TodayDay,G62-G61,"")</f>
        <v/>
      </c>
      <c r="H63" s="49">
        <f>IF(RawData!A19&lt;TodayDay,H62-H61,"")</f>
        <v/>
      </c>
      <c r="I63" s="49">
        <f>IF(RawData!A19&lt;TodayDay,I62-I61,"")</f>
        <v/>
      </c>
      <c r="J63" s="49">
        <f>IF(RawData!A19&lt;TodayDay,J62-J61,"")</f>
        <v/>
      </c>
      <c r="K63" s="49">
        <f>IF(RawData!A19&lt;TodayDay,K62-K61,"")</f>
        <v/>
      </c>
      <c r="L63" s="49">
        <f>IF(RawData!A19&lt;TodayDay,L62-L61,"")</f>
        <v/>
      </c>
      <c r="M63" s="50">
        <f>IF(RawData!A19&lt;TodayDay,M62-M61,"")</f>
        <v/>
      </c>
    </row>
    <row r="64">
      <c r="A64" s="51" t="n"/>
      <c r="B64" s="46" t="inlineStr">
        <is>
          <t>17 ก.ค. 2569</t>
        </is>
      </c>
      <c r="C64" s="47" t="inlineStr">
        <is>
          <t>Target</t>
        </is>
      </c>
      <c r="D64" s="48">
        <f>RawData!E20</f>
        <v/>
      </c>
      <c r="E64" s="48">
        <f>RawData!F20</f>
        <v/>
      </c>
      <c r="F64" s="48">
        <f>RawData!G20</f>
        <v/>
      </c>
      <c r="G64" s="48">
        <f>RawData!H20</f>
        <v/>
      </c>
      <c r="H64" s="48">
        <f>RawData!I20</f>
        <v/>
      </c>
      <c r="I64" s="48">
        <f>RawData!J20</f>
        <v/>
      </c>
      <c r="J64" s="48">
        <f>RawData!K20</f>
        <v/>
      </c>
      <c r="K64" s="48">
        <f>RawData!L20</f>
        <v/>
      </c>
      <c r="L64" s="49">
        <f>RawData!M20</f>
        <v/>
      </c>
      <c r="M64" s="50">
        <f>RawData!N20</f>
        <v/>
      </c>
    </row>
    <row r="65">
      <c r="A65" s="51" t="n"/>
      <c r="B65" s="30" t="n"/>
      <c r="C65" s="46" t="inlineStr">
        <is>
          <t>Actual</t>
        </is>
      </c>
      <c r="D65" s="49">
        <f>IF(RawData!A20&lt;TodayDay,RawData!O20,"")</f>
        <v/>
      </c>
      <c r="E65" s="49">
        <f>IF(RawData!A20&lt;TodayDay,RawData!P20,"")</f>
        <v/>
      </c>
      <c r="F65" s="49">
        <f>IF(RawData!A20&lt;TodayDay,RawData!Q20,"")</f>
        <v/>
      </c>
      <c r="G65" s="49">
        <f>IF(RawData!A20&lt;TodayDay,RawData!R20,"")</f>
        <v/>
      </c>
      <c r="H65" s="49">
        <f>IF(RawData!A20&lt;TodayDay,RawData!S20,"")</f>
        <v/>
      </c>
      <c r="I65" s="49">
        <f>IF(RawData!A20&lt;TodayDay,RawData!T20,"")</f>
        <v/>
      </c>
      <c r="J65" s="49">
        <f>IF(RawData!A20&lt;TodayDay,RawData!U20,"")</f>
        <v/>
      </c>
      <c r="K65" s="49">
        <f>IF(RawData!A20&lt;TodayDay,RawData!V20,"")</f>
        <v/>
      </c>
      <c r="L65" s="49">
        <f>IF(RawData!A20&lt;TodayDay,RawData!W20,"")</f>
        <v/>
      </c>
      <c r="M65" s="50">
        <f>IF(RawData!A20&lt;TodayDay,RawData!X20,"")</f>
        <v/>
      </c>
    </row>
    <row r="66">
      <c r="A66" s="51" t="n"/>
      <c r="B66" s="30" t="n"/>
      <c r="C66" s="52" t="inlineStr">
        <is>
          <t>Gap</t>
        </is>
      </c>
      <c r="D66" s="49">
        <f>IF(RawData!A20&lt;TodayDay,D65-D64,"")</f>
        <v/>
      </c>
      <c r="E66" s="49">
        <f>IF(RawData!A20&lt;TodayDay,E65-E64,"")</f>
        <v/>
      </c>
      <c r="F66" s="49">
        <f>IF(RawData!A20&lt;TodayDay,F65-F64,"")</f>
        <v/>
      </c>
      <c r="G66" s="49">
        <f>IF(RawData!A20&lt;TodayDay,G65-G64,"")</f>
        <v/>
      </c>
      <c r="H66" s="49">
        <f>IF(RawData!A20&lt;TodayDay,H65-H64,"")</f>
        <v/>
      </c>
      <c r="I66" s="49">
        <f>IF(RawData!A20&lt;TodayDay,I65-I64,"")</f>
        <v/>
      </c>
      <c r="J66" s="49">
        <f>IF(RawData!A20&lt;TodayDay,J65-J64,"")</f>
        <v/>
      </c>
      <c r="K66" s="49">
        <f>IF(RawData!A20&lt;TodayDay,K65-K64,"")</f>
        <v/>
      </c>
      <c r="L66" s="49">
        <f>IF(RawData!A20&lt;TodayDay,L65-L64,"")</f>
        <v/>
      </c>
      <c r="M66" s="50">
        <f>IF(RawData!A20&lt;TodayDay,M65-M64,"")</f>
        <v/>
      </c>
    </row>
    <row r="67">
      <c r="A67" s="51" t="n"/>
      <c r="B67" s="53" t="inlineStr">
        <is>
          <t>18 ก.ค. 2569 (วันหยุด)</t>
        </is>
      </c>
      <c r="C67" s="54" t="inlineStr">
        <is>
          <t>Target</t>
        </is>
      </c>
      <c r="D67" s="55">
        <f>RawData!E21</f>
        <v/>
      </c>
      <c r="E67" s="55">
        <f>RawData!F21</f>
        <v/>
      </c>
      <c r="F67" s="55">
        <f>RawData!G21</f>
        <v/>
      </c>
      <c r="G67" s="55">
        <f>RawData!H21</f>
        <v/>
      </c>
      <c r="H67" s="55">
        <f>RawData!I21</f>
        <v/>
      </c>
      <c r="I67" s="55">
        <f>RawData!J21</f>
        <v/>
      </c>
      <c r="J67" s="55">
        <f>RawData!K21</f>
        <v/>
      </c>
      <c r="K67" s="55">
        <f>RawData!L21</f>
        <v/>
      </c>
      <c r="L67" s="56">
        <f>RawData!M21</f>
        <v/>
      </c>
      <c r="M67" s="57">
        <f>RawData!N21</f>
        <v/>
      </c>
    </row>
    <row r="68">
      <c r="A68" s="51" t="n"/>
      <c r="B68" s="58" t="n"/>
      <c r="C68" s="53" t="inlineStr">
        <is>
          <t>Actual</t>
        </is>
      </c>
      <c r="D68" s="56">
        <f>IF(RawData!A21&lt;TodayDay,RawData!O21,"")</f>
        <v/>
      </c>
      <c r="E68" s="56">
        <f>IF(RawData!A21&lt;TodayDay,RawData!P21,"")</f>
        <v/>
      </c>
      <c r="F68" s="56">
        <f>IF(RawData!A21&lt;TodayDay,RawData!Q21,"")</f>
        <v/>
      </c>
      <c r="G68" s="56">
        <f>IF(RawData!A21&lt;TodayDay,RawData!R21,"")</f>
        <v/>
      </c>
      <c r="H68" s="56">
        <f>IF(RawData!A21&lt;TodayDay,RawData!S21,"")</f>
        <v/>
      </c>
      <c r="I68" s="56">
        <f>IF(RawData!A21&lt;TodayDay,RawData!T21,"")</f>
        <v/>
      </c>
      <c r="J68" s="56">
        <f>IF(RawData!A21&lt;TodayDay,RawData!U21,"")</f>
        <v/>
      </c>
      <c r="K68" s="56">
        <f>IF(RawData!A21&lt;TodayDay,RawData!V21,"")</f>
        <v/>
      </c>
      <c r="L68" s="56">
        <f>IF(RawData!A21&lt;TodayDay,RawData!W21,"")</f>
        <v/>
      </c>
      <c r="M68" s="57">
        <f>IF(RawData!A21&lt;TodayDay,RawData!X21,"")</f>
        <v/>
      </c>
    </row>
    <row r="69">
      <c r="A69" s="51" t="n"/>
      <c r="B69" s="58" t="n"/>
      <c r="C69" s="59" t="inlineStr">
        <is>
          <t>Gap</t>
        </is>
      </c>
      <c r="D69" s="56">
        <f>IF(RawData!A21&lt;TodayDay,D68-D67,"")</f>
        <v/>
      </c>
      <c r="E69" s="56">
        <f>IF(RawData!A21&lt;TodayDay,E68-E67,"")</f>
        <v/>
      </c>
      <c r="F69" s="56">
        <f>IF(RawData!A21&lt;TodayDay,F68-F67,"")</f>
        <v/>
      </c>
      <c r="G69" s="56">
        <f>IF(RawData!A21&lt;TodayDay,G68-G67,"")</f>
        <v/>
      </c>
      <c r="H69" s="56">
        <f>IF(RawData!A21&lt;TodayDay,H68-H67,"")</f>
        <v/>
      </c>
      <c r="I69" s="56">
        <f>IF(RawData!A21&lt;TodayDay,I68-I67,"")</f>
        <v/>
      </c>
      <c r="J69" s="56">
        <f>IF(RawData!A21&lt;TodayDay,J68-J67,"")</f>
        <v/>
      </c>
      <c r="K69" s="56">
        <f>IF(RawData!A21&lt;TodayDay,K68-K67,"")</f>
        <v/>
      </c>
      <c r="L69" s="56">
        <f>IF(RawData!A21&lt;TodayDay,L68-L67,"")</f>
        <v/>
      </c>
      <c r="M69" s="57">
        <f>IF(RawData!A21&lt;TodayDay,M68-M67,"")</f>
        <v/>
      </c>
    </row>
    <row r="70">
      <c r="A70" s="51" t="n"/>
      <c r="B70" s="53" t="inlineStr">
        <is>
          <t>19 ก.ค. 2569 (วันหยุด)</t>
        </is>
      </c>
      <c r="C70" s="54" t="inlineStr">
        <is>
          <t>Target</t>
        </is>
      </c>
      <c r="D70" s="55">
        <f>RawData!E22</f>
        <v/>
      </c>
      <c r="E70" s="55">
        <f>RawData!F22</f>
        <v/>
      </c>
      <c r="F70" s="55">
        <f>RawData!G22</f>
        <v/>
      </c>
      <c r="G70" s="55">
        <f>RawData!H22</f>
        <v/>
      </c>
      <c r="H70" s="55">
        <f>RawData!I22</f>
        <v/>
      </c>
      <c r="I70" s="55">
        <f>RawData!J22</f>
        <v/>
      </c>
      <c r="J70" s="55">
        <f>RawData!K22</f>
        <v/>
      </c>
      <c r="K70" s="55">
        <f>RawData!L22</f>
        <v/>
      </c>
      <c r="L70" s="56">
        <f>RawData!M22</f>
        <v/>
      </c>
      <c r="M70" s="57">
        <f>RawData!N22</f>
        <v/>
      </c>
    </row>
    <row r="71">
      <c r="A71" s="51" t="n"/>
      <c r="B71" s="58" t="n"/>
      <c r="C71" s="53" t="inlineStr">
        <is>
          <t>Actual</t>
        </is>
      </c>
      <c r="D71" s="56">
        <f>IF(RawData!A22&lt;TodayDay,RawData!O22,"")</f>
        <v/>
      </c>
      <c r="E71" s="56">
        <f>IF(RawData!A22&lt;TodayDay,RawData!P22,"")</f>
        <v/>
      </c>
      <c r="F71" s="56">
        <f>IF(RawData!A22&lt;TodayDay,RawData!Q22,"")</f>
        <v/>
      </c>
      <c r="G71" s="56">
        <f>IF(RawData!A22&lt;TodayDay,RawData!R22,"")</f>
        <v/>
      </c>
      <c r="H71" s="56">
        <f>IF(RawData!A22&lt;TodayDay,RawData!S22,"")</f>
        <v/>
      </c>
      <c r="I71" s="56">
        <f>IF(RawData!A22&lt;TodayDay,RawData!T22,"")</f>
        <v/>
      </c>
      <c r="J71" s="56">
        <f>IF(RawData!A22&lt;TodayDay,RawData!U22,"")</f>
        <v/>
      </c>
      <c r="K71" s="56">
        <f>IF(RawData!A22&lt;TodayDay,RawData!V22,"")</f>
        <v/>
      </c>
      <c r="L71" s="56">
        <f>IF(RawData!A22&lt;TodayDay,RawData!W22,"")</f>
        <v/>
      </c>
      <c r="M71" s="57">
        <f>IF(RawData!A22&lt;TodayDay,RawData!X22,"")</f>
        <v/>
      </c>
    </row>
    <row r="72">
      <c r="A72" s="60" t="n"/>
      <c r="B72" s="58" t="n"/>
      <c r="C72" s="59" t="inlineStr">
        <is>
          <t>Gap</t>
        </is>
      </c>
      <c r="D72" s="56">
        <f>IF(RawData!A22&lt;TodayDay,D71-D70,"")</f>
        <v/>
      </c>
      <c r="E72" s="56">
        <f>IF(RawData!A22&lt;TodayDay,E71-E70,"")</f>
        <v/>
      </c>
      <c r="F72" s="56">
        <f>IF(RawData!A22&lt;TodayDay,F71-F70,"")</f>
        <v/>
      </c>
      <c r="G72" s="56">
        <f>IF(RawData!A22&lt;TodayDay,G71-G70,"")</f>
        <v/>
      </c>
      <c r="H72" s="56">
        <f>IF(RawData!A22&lt;TodayDay,H71-H70,"")</f>
        <v/>
      </c>
      <c r="I72" s="56">
        <f>IF(RawData!A22&lt;TodayDay,I71-I70,"")</f>
        <v/>
      </c>
      <c r="J72" s="56">
        <f>IF(RawData!A22&lt;TodayDay,J71-J70,"")</f>
        <v/>
      </c>
      <c r="K72" s="56">
        <f>IF(RawData!A22&lt;TodayDay,K71-K70,"")</f>
        <v/>
      </c>
      <c r="L72" s="56">
        <f>IF(RawData!A22&lt;TodayDay,L71-L70,"")</f>
        <v/>
      </c>
      <c r="M72" s="57">
        <f>IF(RawData!A22&lt;TodayDay,M71-M70,"")</f>
        <v/>
      </c>
    </row>
    <row r="73">
      <c r="A73" s="45" t="n">
        <v>30</v>
      </c>
      <c r="B73" s="46" t="inlineStr">
        <is>
          <t>20 ก.ค. 2569</t>
        </is>
      </c>
      <c r="C73" s="47" t="inlineStr">
        <is>
          <t>Target</t>
        </is>
      </c>
      <c r="D73" s="48">
        <f>RawData!E23</f>
        <v/>
      </c>
      <c r="E73" s="48">
        <f>RawData!F23</f>
        <v/>
      </c>
      <c r="F73" s="48">
        <f>RawData!G23</f>
        <v/>
      </c>
      <c r="G73" s="48">
        <f>RawData!H23</f>
        <v/>
      </c>
      <c r="H73" s="48">
        <f>RawData!I23</f>
        <v/>
      </c>
      <c r="I73" s="48">
        <f>RawData!J23</f>
        <v/>
      </c>
      <c r="J73" s="48">
        <f>RawData!K23</f>
        <v/>
      </c>
      <c r="K73" s="48">
        <f>RawData!L23</f>
        <v/>
      </c>
      <c r="L73" s="49">
        <f>RawData!M23</f>
        <v/>
      </c>
      <c r="M73" s="50">
        <f>RawData!N23</f>
        <v/>
      </c>
    </row>
    <row r="74">
      <c r="A74" s="51" t="n"/>
      <c r="B74" s="30" t="n"/>
      <c r="C74" s="46" t="inlineStr">
        <is>
          <t>Actual</t>
        </is>
      </c>
      <c r="D74" s="49">
        <f>IF(RawData!A23&lt;TodayDay,RawData!O23,"")</f>
        <v/>
      </c>
      <c r="E74" s="49">
        <f>IF(RawData!A23&lt;TodayDay,RawData!P23,"")</f>
        <v/>
      </c>
      <c r="F74" s="49">
        <f>IF(RawData!A23&lt;TodayDay,RawData!Q23,"")</f>
        <v/>
      </c>
      <c r="G74" s="49">
        <f>IF(RawData!A23&lt;TodayDay,RawData!R23,"")</f>
        <v/>
      </c>
      <c r="H74" s="49">
        <f>IF(RawData!A23&lt;TodayDay,RawData!S23,"")</f>
        <v/>
      </c>
      <c r="I74" s="49">
        <f>IF(RawData!A23&lt;TodayDay,RawData!T23,"")</f>
        <v/>
      </c>
      <c r="J74" s="49">
        <f>IF(RawData!A23&lt;TodayDay,RawData!U23,"")</f>
        <v/>
      </c>
      <c r="K74" s="49">
        <f>IF(RawData!A23&lt;TodayDay,RawData!V23,"")</f>
        <v/>
      </c>
      <c r="L74" s="49">
        <f>IF(RawData!A23&lt;TodayDay,RawData!W23,"")</f>
        <v/>
      </c>
      <c r="M74" s="50">
        <f>IF(RawData!A23&lt;TodayDay,RawData!X23,"")</f>
        <v/>
      </c>
    </row>
    <row r="75">
      <c r="A75" s="51" t="n"/>
      <c r="B75" s="30" t="n"/>
      <c r="C75" s="52" t="inlineStr">
        <is>
          <t>Gap</t>
        </is>
      </c>
      <c r="D75" s="49">
        <f>IF(RawData!A23&lt;TodayDay,D74-D73,"")</f>
        <v/>
      </c>
      <c r="E75" s="49">
        <f>IF(RawData!A23&lt;TodayDay,E74-E73,"")</f>
        <v/>
      </c>
      <c r="F75" s="49">
        <f>IF(RawData!A23&lt;TodayDay,F74-F73,"")</f>
        <v/>
      </c>
      <c r="G75" s="49">
        <f>IF(RawData!A23&lt;TodayDay,G74-G73,"")</f>
        <v/>
      </c>
      <c r="H75" s="49">
        <f>IF(RawData!A23&lt;TodayDay,H74-H73,"")</f>
        <v/>
      </c>
      <c r="I75" s="49">
        <f>IF(RawData!A23&lt;TodayDay,I74-I73,"")</f>
        <v/>
      </c>
      <c r="J75" s="49">
        <f>IF(RawData!A23&lt;TodayDay,J74-J73,"")</f>
        <v/>
      </c>
      <c r="K75" s="49">
        <f>IF(RawData!A23&lt;TodayDay,K74-K73,"")</f>
        <v/>
      </c>
      <c r="L75" s="49">
        <f>IF(RawData!A23&lt;TodayDay,L74-L73,"")</f>
        <v/>
      </c>
      <c r="M75" s="50">
        <f>IF(RawData!A23&lt;TodayDay,M74-M73,"")</f>
        <v/>
      </c>
    </row>
    <row r="76">
      <c r="A76" s="51" t="n"/>
      <c r="B76" s="46" t="inlineStr">
        <is>
          <t>21 ก.ค. 2569</t>
        </is>
      </c>
      <c r="C76" s="47" t="inlineStr">
        <is>
          <t>Target</t>
        </is>
      </c>
      <c r="D76" s="48">
        <f>RawData!E24</f>
        <v/>
      </c>
      <c r="E76" s="48">
        <f>RawData!F24</f>
        <v/>
      </c>
      <c r="F76" s="48">
        <f>RawData!G24</f>
        <v/>
      </c>
      <c r="G76" s="48">
        <f>RawData!H24</f>
        <v/>
      </c>
      <c r="H76" s="48">
        <f>RawData!I24</f>
        <v/>
      </c>
      <c r="I76" s="48">
        <f>RawData!J24</f>
        <v/>
      </c>
      <c r="J76" s="48">
        <f>RawData!K24</f>
        <v/>
      </c>
      <c r="K76" s="48">
        <f>RawData!L24</f>
        <v/>
      </c>
      <c r="L76" s="49">
        <f>RawData!M24</f>
        <v/>
      </c>
      <c r="M76" s="50">
        <f>RawData!N24</f>
        <v/>
      </c>
    </row>
    <row r="77">
      <c r="A77" s="51" t="n"/>
      <c r="B77" s="30" t="n"/>
      <c r="C77" s="46" t="inlineStr">
        <is>
          <t>Actual</t>
        </is>
      </c>
      <c r="D77" s="49">
        <f>IF(RawData!A24&lt;TodayDay,RawData!O24,"")</f>
        <v/>
      </c>
      <c r="E77" s="49">
        <f>IF(RawData!A24&lt;TodayDay,RawData!P24,"")</f>
        <v/>
      </c>
      <c r="F77" s="49">
        <f>IF(RawData!A24&lt;TodayDay,RawData!Q24,"")</f>
        <v/>
      </c>
      <c r="G77" s="49">
        <f>IF(RawData!A24&lt;TodayDay,RawData!R24,"")</f>
        <v/>
      </c>
      <c r="H77" s="49">
        <f>IF(RawData!A24&lt;TodayDay,RawData!S24,"")</f>
        <v/>
      </c>
      <c r="I77" s="49">
        <f>IF(RawData!A24&lt;TodayDay,RawData!T24,"")</f>
        <v/>
      </c>
      <c r="J77" s="49">
        <f>IF(RawData!A24&lt;TodayDay,RawData!U24,"")</f>
        <v/>
      </c>
      <c r="K77" s="49">
        <f>IF(RawData!A24&lt;TodayDay,RawData!V24,"")</f>
        <v/>
      </c>
      <c r="L77" s="49">
        <f>IF(RawData!A24&lt;TodayDay,RawData!W24,"")</f>
        <v/>
      </c>
      <c r="M77" s="50">
        <f>IF(RawData!A24&lt;TodayDay,RawData!X24,"")</f>
        <v/>
      </c>
    </row>
    <row r="78">
      <c r="A78" s="51" t="n"/>
      <c r="B78" s="30" t="n"/>
      <c r="C78" s="52" t="inlineStr">
        <is>
          <t>Gap</t>
        </is>
      </c>
      <c r="D78" s="49">
        <f>IF(RawData!A24&lt;TodayDay,D77-D76,"")</f>
        <v/>
      </c>
      <c r="E78" s="49">
        <f>IF(RawData!A24&lt;TodayDay,E77-E76,"")</f>
        <v/>
      </c>
      <c r="F78" s="49">
        <f>IF(RawData!A24&lt;TodayDay,F77-F76,"")</f>
        <v/>
      </c>
      <c r="G78" s="49">
        <f>IF(RawData!A24&lt;TodayDay,G77-G76,"")</f>
        <v/>
      </c>
      <c r="H78" s="49">
        <f>IF(RawData!A24&lt;TodayDay,H77-H76,"")</f>
        <v/>
      </c>
      <c r="I78" s="49">
        <f>IF(RawData!A24&lt;TodayDay,I77-I76,"")</f>
        <v/>
      </c>
      <c r="J78" s="49">
        <f>IF(RawData!A24&lt;TodayDay,J77-J76,"")</f>
        <v/>
      </c>
      <c r="K78" s="49">
        <f>IF(RawData!A24&lt;TodayDay,K77-K76,"")</f>
        <v/>
      </c>
      <c r="L78" s="49">
        <f>IF(RawData!A24&lt;TodayDay,L77-L76,"")</f>
        <v/>
      </c>
      <c r="M78" s="50">
        <f>IF(RawData!A24&lt;TodayDay,M77-M76,"")</f>
        <v/>
      </c>
    </row>
    <row r="79">
      <c r="A79" s="51" t="n"/>
      <c r="B79" s="46" t="inlineStr">
        <is>
          <t>22 ก.ค. 2569</t>
        </is>
      </c>
      <c r="C79" s="47" t="inlineStr">
        <is>
          <t>Target</t>
        </is>
      </c>
      <c r="D79" s="48">
        <f>RawData!E25</f>
        <v/>
      </c>
      <c r="E79" s="48">
        <f>RawData!F25</f>
        <v/>
      </c>
      <c r="F79" s="48">
        <f>RawData!G25</f>
        <v/>
      </c>
      <c r="G79" s="48">
        <f>RawData!H25</f>
        <v/>
      </c>
      <c r="H79" s="48">
        <f>RawData!I25</f>
        <v/>
      </c>
      <c r="I79" s="48">
        <f>RawData!J25</f>
        <v/>
      </c>
      <c r="J79" s="48">
        <f>RawData!K25</f>
        <v/>
      </c>
      <c r="K79" s="48">
        <f>RawData!L25</f>
        <v/>
      </c>
      <c r="L79" s="49">
        <f>RawData!M25</f>
        <v/>
      </c>
      <c r="M79" s="50">
        <f>RawData!N25</f>
        <v/>
      </c>
    </row>
    <row r="80">
      <c r="A80" s="51" t="n"/>
      <c r="B80" s="30" t="n"/>
      <c r="C80" s="46" t="inlineStr">
        <is>
          <t>Actual</t>
        </is>
      </c>
      <c r="D80" s="49">
        <f>IF(RawData!A25&lt;TodayDay,RawData!O25,"")</f>
        <v/>
      </c>
      <c r="E80" s="49">
        <f>IF(RawData!A25&lt;TodayDay,RawData!P25,"")</f>
        <v/>
      </c>
      <c r="F80" s="49">
        <f>IF(RawData!A25&lt;TodayDay,RawData!Q25,"")</f>
        <v/>
      </c>
      <c r="G80" s="49">
        <f>IF(RawData!A25&lt;TodayDay,RawData!R25,"")</f>
        <v/>
      </c>
      <c r="H80" s="49">
        <f>IF(RawData!A25&lt;TodayDay,RawData!S25,"")</f>
        <v/>
      </c>
      <c r="I80" s="49">
        <f>IF(RawData!A25&lt;TodayDay,RawData!T25,"")</f>
        <v/>
      </c>
      <c r="J80" s="49">
        <f>IF(RawData!A25&lt;TodayDay,RawData!U25,"")</f>
        <v/>
      </c>
      <c r="K80" s="49">
        <f>IF(RawData!A25&lt;TodayDay,RawData!V25,"")</f>
        <v/>
      </c>
      <c r="L80" s="49">
        <f>IF(RawData!A25&lt;TodayDay,RawData!W25,"")</f>
        <v/>
      </c>
      <c r="M80" s="50">
        <f>IF(RawData!A25&lt;TodayDay,RawData!X25,"")</f>
        <v/>
      </c>
    </row>
    <row r="81">
      <c r="A81" s="51" t="n"/>
      <c r="B81" s="30" t="n"/>
      <c r="C81" s="52" t="inlineStr">
        <is>
          <t>Gap</t>
        </is>
      </c>
      <c r="D81" s="49">
        <f>IF(RawData!A25&lt;TodayDay,D80-D79,"")</f>
        <v/>
      </c>
      <c r="E81" s="49">
        <f>IF(RawData!A25&lt;TodayDay,E80-E79,"")</f>
        <v/>
      </c>
      <c r="F81" s="49">
        <f>IF(RawData!A25&lt;TodayDay,F80-F79,"")</f>
        <v/>
      </c>
      <c r="G81" s="49">
        <f>IF(RawData!A25&lt;TodayDay,G80-G79,"")</f>
        <v/>
      </c>
      <c r="H81" s="49">
        <f>IF(RawData!A25&lt;TodayDay,H80-H79,"")</f>
        <v/>
      </c>
      <c r="I81" s="49">
        <f>IF(RawData!A25&lt;TodayDay,I80-I79,"")</f>
        <v/>
      </c>
      <c r="J81" s="49">
        <f>IF(RawData!A25&lt;TodayDay,J80-J79,"")</f>
        <v/>
      </c>
      <c r="K81" s="49">
        <f>IF(RawData!A25&lt;TodayDay,K80-K79,"")</f>
        <v/>
      </c>
      <c r="L81" s="49">
        <f>IF(RawData!A25&lt;TodayDay,L80-L79,"")</f>
        <v/>
      </c>
      <c r="M81" s="50">
        <f>IF(RawData!A25&lt;TodayDay,M80-M79,"")</f>
        <v/>
      </c>
    </row>
    <row r="82">
      <c r="A82" s="51" t="n"/>
      <c r="B82" s="46" t="inlineStr">
        <is>
          <t>23 ก.ค. 2569</t>
        </is>
      </c>
      <c r="C82" s="47" t="inlineStr">
        <is>
          <t>Target</t>
        </is>
      </c>
      <c r="D82" s="48">
        <f>RawData!E26</f>
        <v/>
      </c>
      <c r="E82" s="48">
        <f>RawData!F26</f>
        <v/>
      </c>
      <c r="F82" s="48">
        <f>RawData!G26</f>
        <v/>
      </c>
      <c r="G82" s="48">
        <f>RawData!H26</f>
        <v/>
      </c>
      <c r="H82" s="48">
        <f>RawData!I26</f>
        <v/>
      </c>
      <c r="I82" s="48">
        <f>RawData!J26</f>
        <v/>
      </c>
      <c r="J82" s="48">
        <f>RawData!K26</f>
        <v/>
      </c>
      <c r="K82" s="48">
        <f>RawData!L26</f>
        <v/>
      </c>
      <c r="L82" s="49">
        <f>RawData!M26</f>
        <v/>
      </c>
      <c r="M82" s="50">
        <f>RawData!N26</f>
        <v/>
      </c>
    </row>
    <row r="83">
      <c r="A83" s="51" t="n"/>
      <c r="B83" s="30" t="n"/>
      <c r="C83" s="46" t="inlineStr">
        <is>
          <t>Actual</t>
        </is>
      </c>
      <c r="D83" s="49">
        <f>IF(RawData!A26&lt;TodayDay,RawData!O26,"")</f>
        <v/>
      </c>
      <c r="E83" s="49">
        <f>IF(RawData!A26&lt;TodayDay,RawData!P26,"")</f>
        <v/>
      </c>
      <c r="F83" s="49">
        <f>IF(RawData!A26&lt;TodayDay,RawData!Q26,"")</f>
        <v/>
      </c>
      <c r="G83" s="49">
        <f>IF(RawData!A26&lt;TodayDay,RawData!R26,"")</f>
        <v/>
      </c>
      <c r="H83" s="49">
        <f>IF(RawData!A26&lt;TodayDay,RawData!S26,"")</f>
        <v/>
      </c>
      <c r="I83" s="49">
        <f>IF(RawData!A26&lt;TodayDay,RawData!T26,"")</f>
        <v/>
      </c>
      <c r="J83" s="49">
        <f>IF(RawData!A26&lt;TodayDay,RawData!U26,"")</f>
        <v/>
      </c>
      <c r="K83" s="49">
        <f>IF(RawData!A26&lt;TodayDay,RawData!V26,"")</f>
        <v/>
      </c>
      <c r="L83" s="49">
        <f>IF(RawData!A26&lt;TodayDay,RawData!W26,"")</f>
        <v/>
      </c>
      <c r="M83" s="50">
        <f>IF(RawData!A26&lt;TodayDay,RawData!X26,"")</f>
        <v/>
      </c>
    </row>
    <row r="84">
      <c r="A84" s="51" t="n"/>
      <c r="B84" s="30" t="n"/>
      <c r="C84" s="52" t="inlineStr">
        <is>
          <t>Gap</t>
        </is>
      </c>
      <c r="D84" s="49">
        <f>IF(RawData!A26&lt;TodayDay,D83-D82,"")</f>
        <v/>
      </c>
      <c r="E84" s="49">
        <f>IF(RawData!A26&lt;TodayDay,E83-E82,"")</f>
        <v/>
      </c>
      <c r="F84" s="49">
        <f>IF(RawData!A26&lt;TodayDay,F83-F82,"")</f>
        <v/>
      </c>
      <c r="G84" s="49">
        <f>IF(RawData!A26&lt;TodayDay,G83-G82,"")</f>
        <v/>
      </c>
      <c r="H84" s="49">
        <f>IF(RawData!A26&lt;TodayDay,H83-H82,"")</f>
        <v/>
      </c>
      <c r="I84" s="49">
        <f>IF(RawData!A26&lt;TodayDay,I83-I82,"")</f>
        <v/>
      </c>
      <c r="J84" s="49">
        <f>IF(RawData!A26&lt;TodayDay,J83-J82,"")</f>
        <v/>
      </c>
      <c r="K84" s="49">
        <f>IF(RawData!A26&lt;TodayDay,K83-K82,"")</f>
        <v/>
      </c>
      <c r="L84" s="49">
        <f>IF(RawData!A26&lt;TodayDay,L83-L82,"")</f>
        <v/>
      </c>
      <c r="M84" s="50">
        <f>IF(RawData!A26&lt;TodayDay,M83-M82,"")</f>
        <v/>
      </c>
    </row>
    <row r="85">
      <c r="A85" s="51" t="n"/>
      <c r="B85" s="46" t="inlineStr">
        <is>
          <t>24 ก.ค. 2569</t>
        </is>
      </c>
      <c r="C85" s="47" t="inlineStr">
        <is>
          <t>Target</t>
        </is>
      </c>
      <c r="D85" s="48">
        <f>RawData!E27</f>
        <v/>
      </c>
      <c r="E85" s="48">
        <f>RawData!F27</f>
        <v/>
      </c>
      <c r="F85" s="48">
        <f>RawData!G27</f>
        <v/>
      </c>
      <c r="G85" s="48">
        <f>RawData!H27</f>
        <v/>
      </c>
      <c r="H85" s="48">
        <f>RawData!I27</f>
        <v/>
      </c>
      <c r="I85" s="48">
        <f>RawData!J27</f>
        <v/>
      </c>
      <c r="J85" s="48">
        <f>RawData!K27</f>
        <v/>
      </c>
      <c r="K85" s="48">
        <f>RawData!L27</f>
        <v/>
      </c>
      <c r="L85" s="49">
        <f>RawData!M27</f>
        <v/>
      </c>
      <c r="M85" s="50">
        <f>RawData!N27</f>
        <v/>
      </c>
    </row>
    <row r="86">
      <c r="A86" s="51" t="n"/>
      <c r="B86" s="30" t="n"/>
      <c r="C86" s="46" t="inlineStr">
        <is>
          <t>Actual</t>
        </is>
      </c>
      <c r="D86" s="49">
        <f>IF(RawData!A27&lt;TodayDay,RawData!O27,"")</f>
        <v/>
      </c>
      <c r="E86" s="49">
        <f>IF(RawData!A27&lt;TodayDay,RawData!P27,"")</f>
        <v/>
      </c>
      <c r="F86" s="49">
        <f>IF(RawData!A27&lt;TodayDay,RawData!Q27,"")</f>
        <v/>
      </c>
      <c r="G86" s="49">
        <f>IF(RawData!A27&lt;TodayDay,RawData!R27,"")</f>
        <v/>
      </c>
      <c r="H86" s="49">
        <f>IF(RawData!A27&lt;TodayDay,RawData!S27,"")</f>
        <v/>
      </c>
      <c r="I86" s="49">
        <f>IF(RawData!A27&lt;TodayDay,RawData!T27,"")</f>
        <v/>
      </c>
      <c r="J86" s="49">
        <f>IF(RawData!A27&lt;TodayDay,RawData!U27,"")</f>
        <v/>
      </c>
      <c r="K86" s="49">
        <f>IF(RawData!A27&lt;TodayDay,RawData!V27,"")</f>
        <v/>
      </c>
      <c r="L86" s="49">
        <f>IF(RawData!A27&lt;TodayDay,RawData!W27,"")</f>
        <v/>
      </c>
      <c r="M86" s="50">
        <f>IF(RawData!A27&lt;TodayDay,RawData!X27,"")</f>
        <v/>
      </c>
    </row>
    <row r="87">
      <c r="A87" s="51" t="n"/>
      <c r="B87" s="30" t="n"/>
      <c r="C87" s="52" t="inlineStr">
        <is>
          <t>Gap</t>
        </is>
      </c>
      <c r="D87" s="49">
        <f>IF(RawData!A27&lt;TodayDay,D86-D85,"")</f>
        <v/>
      </c>
      <c r="E87" s="49">
        <f>IF(RawData!A27&lt;TodayDay,E86-E85,"")</f>
        <v/>
      </c>
      <c r="F87" s="49">
        <f>IF(RawData!A27&lt;TodayDay,F86-F85,"")</f>
        <v/>
      </c>
      <c r="G87" s="49">
        <f>IF(RawData!A27&lt;TodayDay,G86-G85,"")</f>
        <v/>
      </c>
      <c r="H87" s="49">
        <f>IF(RawData!A27&lt;TodayDay,H86-H85,"")</f>
        <v/>
      </c>
      <c r="I87" s="49">
        <f>IF(RawData!A27&lt;TodayDay,I86-I85,"")</f>
        <v/>
      </c>
      <c r="J87" s="49">
        <f>IF(RawData!A27&lt;TodayDay,J86-J85,"")</f>
        <v/>
      </c>
      <c r="K87" s="49">
        <f>IF(RawData!A27&lt;TodayDay,K86-K85,"")</f>
        <v/>
      </c>
      <c r="L87" s="49">
        <f>IF(RawData!A27&lt;TodayDay,L86-L85,"")</f>
        <v/>
      </c>
      <c r="M87" s="50">
        <f>IF(RawData!A27&lt;TodayDay,M86-M85,"")</f>
        <v/>
      </c>
    </row>
    <row r="88">
      <c r="A88" s="51" t="n"/>
      <c r="B88" s="53" t="inlineStr">
        <is>
          <t>25 ก.ค. 2569 (วันหยุด)</t>
        </is>
      </c>
      <c r="C88" s="54" t="inlineStr">
        <is>
          <t>Target</t>
        </is>
      </c>
      <c r="D88" s="55">
        <f>RawData!E28</f>
        <v/>
      </c>
      <c r="E88" s="55">
        <f>RawData!F28</f>
        <v/>
      </c>
      <c r="F88" s="55">
        <f>RawData!G28</f>
        <v/>
      </c>
      <c r="G88" s="55">
        <f>RawData!H28</f>
        <v/>
      </c>
      <c r="H88" s="55">
        <f>RawData!I28</f>
        <v/>
      </c>
      <c r="I88" s="55">
        <f>RawData!J28</f>
        <v/>
      </c>
      <c r="J88" s="55">
        <f>RawData!K28</f>
        <v/>
      </c>
      <c r="K88" s="55">
        <f>RawData!L28</f>
        <v/>
      </c>
      <c r="L88" s="56">
        <f>RawData!M28</f>
        <v/>
      </c>
      <c r="M88" s="57">
        <f>RawData!N28</f>
        <v/>
      </c>
    </row>
    <row r="89">
      <c r="A89" s="51" t="n"/>
      <c r="B89" s="58" t="n"/>
      <c r="C89" s="53" t="inlineStr">
        <is>
          <t>Actual</t>
        </is>
      </c>
      <c r="D89" s="56">
        <f>IF(RawData!A28&lt;TodayDay,RawData!O28,"")</f>
        <v/>
      </c>
      <c r="E89" s="56">
        <f>IF(RawData!A28&lt;TodayDay,RawData!P28,"")</f>
        <v/>
      </c>
      <c r="F89" s="56">
        <f>IF(RawData!A28&lt;TodayDay,RawData!Q28,"")</f>
        <v/>
      </c>
      <c r="G89" s="56">
        <f>IF(RawData!A28&lt;TodayDay,RawData!R28,"")</f>
        <v/>
      </c>
      <c r="H89" s="56">
        <f>IF(RawData!A28&lt;TodayDay,RawData!S28,"")</f>
        <v/>
      </c>
      <c r="I89" s="56">
        <f>IF(RawData!A28&lt;TodayDay,RawData!T28,"")</f>
        <v/>
      </c>
      <c r="J89" s="56">
        <f>IF(RawData!A28&lt;TodayDay,RawData!U28,"")</f>
        <v/>
      </c>
      <c r="K89" s="56">
        <f>IF(RawData!A28&lt;TodayDay,RawData!V28,"")</f>
        <v/>
      </c>
      <c r="L89" s="56">
        <f>IF(RawData!A28&lt;TodayDay,RawData!W28,"")</f>
        <v/>
      </c>
      <c r="M89" s="57">
        <f>IF(RawData!A28&lt;TodayDay,RawData!X28,"")</f>
        <v/>
      </c>
    </row>
    <row r="90">
      <c r="A90" s="51" t="n"/>
      <c r="B90" s="58" t="n"/>
      <c r="C90" s="59" t="inlineStr">
        <is>
          <t>Gap</t>
        </is>
      </c>
      <c r="D90" s="56">
        <f>IF(RawData!A28&lt;TodayDay,D89-D88,"")</f>
        <v/>
      </c>
      <c r="E90" s="56">
        <f>IF(RawData!A28&lt;TodayDay,E89-E88,"")</f>
        <v/>
      </c>
      <c r="F90" s="56">
        <f>IF(RawData!A28&lt;TodayDay,F89-F88,"")</f>
        <v/>
      </c>
      <c r="G90" s="56">
        <f>IF(RawData!A28&lt;TodayDay,G89-G88,"")</f>
        <v/>
      </c>
      <c r="H90" s="56">
        <f>IF(RawData!A28&lt;TodayDay,H89-H88,"")</f>
        <v/>
      </c>
      <c r="I90" s="56">
        <f>IF(RawData!A28&lt;TodayDay,I89-I88,"")</f>
        <v/>
      </c>
      <c r="J90" s="56">
        <f>IF(RawData!A28&lt;TodayDay,J89-J88,"")</f>
        <v/>
      </c>
      <c r="K90" s="56">
        <f>IF(RawData!A28&lt;TodayDay,K89-K88,"")</f>
        <v/>
      </c>
      <c r="L90" s="56">
        <f>IF(RawData!A28&lt;TodayDay,L89-L88,"")</f>
        <v/>
      </c>
      <c r="M90" s="57">
        <f>IF(RawData!A28&lt;TodayDay,M89-M88,"")</f>
        <v/>
      </c>
    </row>
    <row r="91">
      <c r="A91" s="51" t="n"/>
      <c r="B91" s="53" t="inlineStr">
        <is>
          <t>26 ก.ค. 2569 (วันหยุด)</t>
        </is>
      </c>
      <c r="C91" s="54" t="inlineStr">
        <is>
          <t>Target</t>
        </is>
      </c>
      <c r="D91" s="55">
        <f>RawData!E29</f>
        <v/>
      </c>
      <c r="E91" s="55">
        <f>RawData!F29</f>
        <v/>
      </c>
      <c r="F91" s="55">
        <f>RawData!G29</f>
        <v/>
      </c>
      <c r="G91" s="55">
        <f>RawData!H29</f>
        <v/>
      </c>
      <c r="H91" s="55">
        <f>RawData!I29</f>
        <v/>
      </c>
      <c r="I91" s="55">
        <f>RawData!J29</f>
        <v/>
      </c>
      <c r="J91" s="55">
        <f>RawData!K29</f>
        <v/>
      </c>
      <c r="K91" s="55">
        <f>RawData!L29</f>
        <v/>
      </c>
      <c r="L91" s="56">
        <f>RawData!M29</f>
        <v/>
      </c>
      <c r="M91" s="57">
        <f>RawData!N29</f>
        <v/>
      </c>
    </row>
    <row r="92">
      <c r="A92" s="51" t="n"/>
      <c r="B92" s="58" t="n"/>
      <c r="C92" s="53" t="inlineStr">
        <is>
          <t>Actual</t>
        </is>
      </c>
      <c r="D92" s="56">
        <f>IF(RawData!A29&lt;TodayDay,RawData!O29,"")</f>
        <v/>
      </c>
      <c r="E92" s="56">
        <f>IF(RawData!A29&lt;TodayDay,RawData!P29,"")</f>
        <v/>
      </c>
      <c r="F92" s="56">
        <f>IF(RawData!A29&lt;TodayDay,RawData!Q29,"")</f>
        <v/>
      </c>
      <c r="G92" s="56">
        <f>IF(RawData!A29&lt;TodayDay,RawData!R29,"")</f>
        <v/>
      </c>
      <c r="H92" s="56">
        <f>IF(RawData!A29&lt;TodayDay,RawData!S29,"")</f>
        <v/>
      </c>
      <c r="I92" s="56">
        <f>IF(RawData!A29&lt;TodayDay,RawData!T29,"")</f>
        <v/>
      </c>
      <c r="J92" s="56">
        <f>IF(RawData!A29&lt;TodayDay,RawData!U29,"")</f>
        <v/>
      </c>
      <c r="K92" s="56">
        <f>IF(RawData!A29&lt;TodayDay,RawData!V29,"")</f>
        <v/>
      </c>
      <c r="L92" s="56">
        <f>IF(RawData!A29&lt;TodayDay,RawData!W29,"")</f>
        <v/>
      </c>
      <c r="M92" s="57">
        <f>IF(RawData!A29&lt;TodayDay,RawData!X29,"")</f>
        <v/>
      </c>
    </row>
    <row r="93">
      <c r="A93" s="60" t="n"/>
      <c r="B93" s="58" t="n"/>
      <c r="C93" s="59" t="inlineStr">
        <is>
          <t>Gap</t>
        </is>
      </c>
      <c r="D93" s="56">
        <f>IF(RawData!A29&lt;TodayDay,D92-D91,"")</f>
        <v/>
      </c>
      <c r="E93" s="56">
        <f>IF(RawData!A29&lt;TodayDay,E92-E91,"")</f>
        <v/>
      </c>
      <c r="F93" s="56">
        <f>IF(RawData!A29&lt;TodayDay,F92-F91,"")</f>
        <v/>
      </c>
      <c r="G93" s="56">
        <f>IF(RawData!A29&lt;TodayDay,G92-G91,"")</f>
        <v/>
      </c>
      <c r="H93" s="56">
        <f>IF(RawData!A29&lt;TodayDay,H92-H91,"")</f>
        <v/>
      </c>
      <c r="I93" s="56">
        <f>IF(RawData!A29&lt;TodayDay,I92-I91,"")</f>
        <v/>
      </c>
      <c r="J93" s="56">
        <f>IF(RawData!A29&lt;TodayDay,J92-J91,"")</f>
        <v/>
      </c>
      <c r="K93" s="56">
        <f>IF(RawData!A29&lt;TodayDay,K92-K91,"")</f>
        <v/>
      </c>
      <c r="L93" s="56">
        <f>IF(RawData!A29&lt;TodayDay,L92-L91,"")</f>
        <v/>
      </c>
      <c r="M93" s="57">
        <f>IF(RawData!A29&lt;TodayDay,M92-M91,"")</f>
        <v/>
      </c>
    </row>
    <row r="95">
      <c r="A95" s="61" t="inlineStr">
        <is>
          <t>กราฟ Target vs Actual % รายวัน</t>
        </is>
      </c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</row>
    <row r="115">
      <c r="A115" s="61" t="inlineStr">
        <is>
          <t>Components รายวัน Actual (บาท)</t>
        </is>
      </c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</row>
  </sheetData>
  <mergeCells count="49">
    <mergeCell ref="J6:L6"/>
    <mergeCell ref="B49:B51"/>
    <mergeCell ref="G6:I6"/>
    <mergeCell ref="A8:M8"/>
    <mergeCell ref="B34:B36"/>
    <mergeCell ref="B40:B42"/>
    <mergeCell ref="A52:A72"/>
    <mergeCell ref="J4:L4"/>
    <mergeCell ref="B55:B57"/>
    <mergeCell ref="A73:A93"/>
    <mergeCell ref="A31:A51"/>
    <mergeCell ref="A115:M115"/>
    <mergeCell ref="B28:B30"/>
    <mergeCell ref="A5:C5"/>
    <mergeCell ref="G5:I5"/>
    <mergeCell ref="B64:B66"/>
    <mergeCell ref="D4:F4"/>
    <mergeCell ref="A10:A30"/>
    <mergeCell ref="B76:B78"/>
    <mergeCell ref="G4:I4"/>
    <mergeCell ref="B25:B27"/>
    <mergeCell ref="B79:B81"/>
    <mergeCell ref="B16:B18"/>
    <mergeCell ref="B85:B87"/>
    <mergeCell ref="A4:C4"/>
    <mergeCell ref="B22:B24"/>
    <mergeCell ref="B31:B33"/>
    <mergeCell ref="B91:B93"/>
    <mergeCell ref="A1:M1"/>
    <mergeCell ref="D5:F5"/>
    <mergeCell ref="B43:B45"/>
    <mergeCell ref="B52:B54"/>
    <mergeCell ref="B46:B48"/>
    <mergeCell ref="B58:B60"/>
    <mergeCell ref="B70:B72"/>
    <mergeCell ref="J5:L5"/>
    <mergeCell ref="B67:B69"/>
    <mergeCell ref="B61:B63"/>
    <mergeCell ref="B10:B12"/>
    <mergeCell ref="B73:B75"/>
    <mergeCell ref="B13:B15"/>
    <mergeCell ref="A6:C6"/>
    <mergeCell ref="B82:B84"/>
    <mergeCell ref="B19:B21"/>
    <mergeCell ref="A95:M95"/>
    <mergeCell ref="D6:F6"/>
    <mergeCell ref="A2:M2"/>
    <mergeCell ref="B88:B90"/>
    <mergeCell ref="B37:B39"/>
  </mergeCells>
  <conditionalFormatting sqref="A5">
    <cfRule type="expression" priority="1" dxfId="0">
      <formula>A5&gt;A6</formula>
    </cfRule>
    <cfRule type="expression" priority="2" dxfId="1">
      <formula>A5&lt;A6</formula>
    </cfRule>
  </conditionalFormatting>
  <conditionalFormatting sqref="D5">
    <cfRule type="expression" priority="3" dxfId="0">
      <formula>D5&gt;D6</formula>
    </cfRule>
    <cfRule type="expression" priority="4" dxfId="1">
      <formula>D5&lt;D6</formula>
    </cfRule>
  </conditionalFormatting>
  <conditionalFormatting sqref="G5">
    <cfRule type="expression" priority="5" dxfId="0">
      <formula>G5&gt;G6</formula>
    </cfRule>
    <cfRule type="expression" priority="6" dxfId="1">
      <formula>G5&lt;G6</formula>
    </cfRule>
  </conditionalFormatting>
  <conditionalFormatting sqref="J5">
    <cfRule type="expression" priority="7" dxfId="0">
      <formula>J5&gt;J6</formula>
    </cfRule>
    <cfRule type="expression" priority="8" dxfId="1">
      <formula>J5&lt;J6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4" customWidth="1" min="3" max="3"/>
    <col width="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62" t="inlineStr">
        <is>
          <t>dayNum</t>
        </is>
      </c>
      <c r="B1" s="62" t="inlineStr">
        <is>
          <t>week</t>
        </is>
      </c>
      <c r="C1" s="62" t="inlineStr">
        <is>
          <t>date</t>
        </is>
      </c>
      <c r="D1" s="62" t="inlineStr">
        <is>
          <t>holiday</t>
        </is>
      </c>
      <c r="E1" s="62" t="inlineStr">
        <is>
          <t>Target JRTS</t>
        </is>
      </c>
      <c r="F1" s="62" t="inlineStr">
        <is>
          <t>Target Asso.Product</t>
        </is>
      </c>
      <c r="G1" s="62" t="inlineStr">
        <is>
          <t>Target Asso.Refer</t>
        </is>
      </c>
      <c r="H1" s="62" t="inlineStr">
        <is>
          <t>Target Reciprocation</t>
        </is>
      </c>
      <c r="I1" s="62" t="inlineStr">
        <is>
          <t>Target Shop Online 1</t>
        </is>
      </c>
      <c r="J1" s="62" t="inlineStr">
        <is>
          <t>Target Shop Online 2</t>
        </is>
      </c>
      <c r="K1" s="62" t="inlineStr">
        <is>
          <t>Target Project</t>
        </is>
      </c>
      <c r="L1" s="62" t="inlineStr">
        <is>
          <t>Target Service</t>
        </is>
      </c>
      <c r="M1" s="62" t="inlineStr">
        <is>
          <t>target_total</t>
        </is>
      </c>
      <c r="N1" s="62" t="inlineStr">
        <is>
          <t>Target %MA</t>
        </is>
      </c>
      <c r="O1" s="62" t="inlineStr">
        <is>
          <t>Actual JRTS</t>
        </is>
      </c>
      <c r="P1" s="62" t="inlineStr">
        <is>
          <t>Actual Asso.Product</t>
        </is>
      </c>
      <c r="Q1" s="62" t="inlineStr">
        <is>
          <t>Actual Asso.Refer</t>
        </is>
      </c>
      <c r="R1" s="62" t="inlineStr">
        <is>
          <t>Actual Reciprocation</t>
        </is>
      </c>
      <c r="S1" s="62" t="inlineStr">
        <is>
          <t>Actual Shop Online 1</t>
        </is>
      </c>
      <c r="T1" s="62" t="inlineStr">
        <is>
          <t>Actual Shop Online 2</t>
        </is>
      </c>
      <c r="U1" s="62" t="inlineStr">
        <is>
          <t>Actual Project</t>
        </is>
      </c>
      <c r="V1" s="62" t="inlineStr">
        <is>
          <t>Actual Service</t>
        </is>
      </c>
      <c r="W1" s="62" t="inlineStr">
        <is>
          <t>actual_total</t>
        </is>
      </c>
      <c r="X1" s="62" t="inlineStr">
        <is>
          <t>Actual %MA</t>
        </is>
      </c>
      <c r="Y1" s="62" t="inlineStr">
        <is>
          <t>daily_revenue</t>
        </is>
      </c>
    </row>
    <row r="2">
      <c r="A2" t="n">
        <v>1</v>
      </c>
      <c r="B2" t="n">
        <v>27</v>
      </c>
      <c r="C2" t="inlineStr">
        <is>
          <t>29 มิ.ย. 2569</t>
        </is>
      </c>
      <c r="D2" t="b">
        <v>0</v>
      </c>
      <c r="E2" s="63" t="n">
        <v>-24273.8649</v>
      </c>
      <c r="F2" s="63" t="n">
        <v>76.7991796</v>
      </c>
      <c r="G2" s="63" t="n">
        <v>3.84615385</v>
      </c>
      <c r="H2" s="63" t="n">
        <v>6.70411662</v>
      </c>
      <c r="I2" s="63" t="n">
        <v>4.74859688</v>
      </c>
      <c r="J2" s="63" t="n">
        <v>6.19858357</v>
      </c>
      <c r="K2" s="63" t="n">
        <v>0</v>
      </c>
      <c r="L2" s="63" t="n">
        <v>0</v>
      </c>
      <c r="M2" s="64">
        <f>SUM(E2:L2)</f>
        <v/>
      </c>
      <c r="N2" s="65" t="n">
        <v>-0.114196199</v>
      </c>
      <c r="O2" s="63" t="n">
        <v>-20851.79</v>
      </c>
      <c r="P2" s="63" t="n">
        <v>0</v>
      </c>
      <c r="Q2" s="63" t="n">
        <v>0</v>
      </c>
      <c r="R2" s="63" t="n">
        <v>0</v>
      </c>
      <c r="S2" s="63" t="n">
        <v>0</v>
      </c>
      <c r="T2" s="63" t="n">
        <v>466.75</v>
      </c>
      <c r="U2" s="63" t="n">
        <v>0</v>
      </c>
      <c r="V2" s="63" t="n">
        <v>0</v>
      </c>
      <c r="W2" s="64">
        <f>SUM(O2:V2)</f>
        <v/>
      </c>
      <c r="X2" s="65" t="n">
        <v>-0.0962911837</v>
      </c>
    </row>
    <row r="3">
      <c r="A3" t="n">
        <v>2</v>
      </c>
      <c r="B3" t="n">
        <v>27</v>
      </c>
      <c r="C3" t="inlineStr">
        <is>
          <t>30 มิ.ย. 2569</t>
        </is>
      </c>
      <c r="D3" t="b">
        <v>0</v>
      </c>
      <c r="E3" s="63" t="n">
        <v>-24273.8649</v>
      </c>
      <c r="F3" s="63" t="n">
        <v>76.7991796</v>
      </c>
      <c r="G3" s="63" t="n">
        <v>3.84615385</v>
      </c>
      <c r="H3" s="63" t="n">
        <v>6.70411662</v>
      </c>
      <c r="I3" s="63" t="n">
        <v>4.74859688</v>
      </c>
      <c r="J3" s="63" t="n">
        <v>6.19858357</v>
      </c>
      <c r="K3" s="63" t="n">
        <v>0</v>
      </c>
      <c r="L3" s="63" t="n">
        <v>0</v>
      </c>
      <c r="M3" s="64">
        <f>SUM(E3:L3)</f>
        <v/>
      </c>
      <c r="N3" s="65" t="n">
        <v>-0.114196199</v>
      </c>
      <c r="O3" s="63" t="n">
        <v>-24862.39</v>
      </c>
      <c r="P3" s="63" t="n">
        <v>0</v>
      </c>
      <c r="Q3" s="63" t="n">
        <v>0</v>
      </c>
      <c r="R3" s="63" t="n">
        <v>0</v>
      </c>
      <c r="S3" s="63" t="n">
        <v>0</v>
      </c>
      <c r="T3" s="63" t="n">
        <v>941.23</v>
      </c>
      <c r="U3" s="63" t="n">
        <v>0</v>
      </c>
      <c r="V3" s="63" t="n">
        <v>0</v>
      </c>
      <c r="W3" s="64">
        <f>SUM(O3:V3)</f>
        <v/>
      </c>
      <c r="X3" s="65" t="n">
        <v>-0.112994471</v>
      </c>
    </row>
    <row r="4">
      <c r="A4" t="n">
        <v>3</v>
      </c>
      <c r="B4" t="n">
        <v>27</v>
      </c>
      <c r="C4" t="inlineStr">
        <is>
          <t>1 ก.ค. 2569</t>
        </is>
      </c>
      <c r="D4" t="b">
        <v>0</v>
      </c>
      <c r="E4" s="63" t="n">
        <v>-24273.8649</v>
      </c>
      <c r="F4" s="63" t="n">
        <v>76.7991796</v>
      </c>
      <c r="G4" s="63" t="n">
        <v>3.84615385</v>
      </c>
      <c r="H4" s="63" t="n">
        <v>6.70411662</v>
      </c>
      <c r="I4" s="63" t="n">
        <v>4.74859688</v>
      </c>
      <c r="J4" s="63" t="n">
        <v>6.19858357</v>
      </c>
      <c r="K4" s="63" t="n">
        <v>0</v>
      </c>
      <c r="L4" s="63" t="n">
        <v>0</v>
      </c>
      <c r="M4" s="64">
        <f>SUM(E4:L4)</f>
        <v/>
      </c>
      <c r="N4" s="65" t="n">
        <v>-0.114196199</v>
      </c>
      <c r="O4" s="63" t="n">
        <v>-20035.23</v>
      </c>
      <c r="P4" s="63" t="n">
        <v>0</v>
      </c>
      <c r="Q4" s="63" t="n">
        <v>0</v>
      </c>
      <c r="R4" s="63" t="n">
        <v>0</v>
      </c>
      <c r="S4" s="63" t="n">
        <v>0</v>
      </c>
      <c r="T4" s="63" t="n">
        <v>60.37</v>
      </c>
      <c r="U4" s="63" t="n">
        <v>0</v>
      </c>
      <c r="V4" s="63" t="n">
        <v>0</v>
      </c>
      <c r="W4" s="64">
        <f>SUM(O4:V4)</f>
        <v/>
      </c>
      <c r="X4" s="65" t="n">
        <v>-0.09435364929999999</v>
      </c>
    </row>
    <row r="5">
      <c r="A5" t="n">
        <v>4</v>
      </c>
      <c r="B5" t="n">
        <v>27</v>
      </c>
      <c r="C5" t="inlineStr">
        <is>
          <t>2 ก.ค. 2569</t>
        </is>
      </c>
      <c r="D5" t="b">
        <v>0</v>
      </c>
      <c r="E5" s="63" t="n">
        <v>-24273.8649</v>
      </c>
      <c r="F5" s="63" t="n">
        <v>76.7991796</v>
      </c>
      <c r="G5" s="63" t="n">
        <v>3.84615385</v>
      </c>
      <c r="H5" s="63" t="n">
        <v>6.70411662</v>
      </c>
      <c r="I5" s="63" t="n">
        <v>4.74859688</v>
      </c>
      <c r="J5" s="63" t="n">
        <v>6.19858357</v>
      </c>
      <c r="K5" s="63" t="n">
        <v>0</v>
      </c>
      <c r="L5" s="63" t="n">
        <v>0</v>
      </c>
      <c r="M5" s="64">
        <f>SUM(E5:L5)</f>
        <v/>
      </c>
      <c r="N5" s="65" t="n">
        <v>-0.114196199</v>
      </c>
      <c r="O5" s="63" t="n">
        <v>-26264.32</v>
      </c>
      <c r="P5" s="63" t="n">
        <v>0</v>
      </c>
      <c r="Q5" s="63" t="n">
        <v>0</v>
      </c>
      <c r="R5" s="63" t="n">
        <v>0</v>
      </c>
      <c r="S5" s="63" t="n">
        <v>0</v>
      </c>
      <c r="T5" s="63" t="n">
        <v>216.3</v>
      </c>
      <c r="U5" s="63" t="n">
        <v>0</v>
      </c>
      <c r="V5" s="63" t="n">
        <v>0</v>
      </c>
      <c r="W5" s="64">
        <f>SUM(O5:V5)</f>
        <v/>
      </c>
      <c r="X5" s="65" t="n">
        <v>-0.12304095</v>
      </c>
    </row>
    <row r="6">
      <c r="A6" t="n">
        <v>5</v>
      </c>
      <c r="B6" t="n">
        <v>27</v>
      </c>
      <c r="C6" t="inlineStr">
        <is>
          <t>3 ก.ค. 2569</t>
        </is>
      </c>
      <c r="D6" t="b">
        <v>0</v>
      </c>
      <c r="E6" s="63" t="n">
        <v>-24273.8649</v>
      </c>
      <c r="F6" s="63" t="n">
        <v>76.7991796</v>
      </c>
      <c r="G6" s="63" t="n">
        <v>3.84615385</v>
      </c>
      <c r="H6" s="63" t="n">
        <v>6.70411662</v>
      </c>
      <c r="I6" s="63" t="n">
        <v>4.74859688</v>
      </c>
      <c r="J6" s="63" t="n">
        <v>6.19858357</v>
      </c>
      <c r="K6" s="63" t="n">
        <v>0</v>
      </c>
      <c r="L6" s="63" t="n">
        <v>0</v>
      </c>
      <c r="M6" s="64">
        <f>SUM(E6:L6)</f>
        <v/>
      </c>
      <c r="N6" s="65" t="n">
        <v>-0.114196199</v>
      </c>
      <c r="O6" s="63" t="n">
        <v>-22096.89</v>
      </c>
      <c r="P6" s="63" t="n">
        <v>0</v>
      </c>
      <c r="Q6" s="63" t="n">
        <v>0</v>
      </c>
      <c r="R6" s="63" t="n">
        <v>0</v>
      </c>
      <c r="S6" s="63" t="n">
        <v>0</v>
      </c>
      <c r="T6" s="63" t="n">
        <v>37.558</v>
      </c>
      <c r="U6" s="63" t="n">
        <v>0</v>
      </c>
      <c r="V6" s="63" t="n">
        <v>0</v>
      </c>
      <c r="W6" s="64">
        <f>SUM(O6:V6)</f>
        <v/>
      </c>
      <c r="X6" s="65" t="n">
        <v>-0.104199903</v>
      </c>
    </row>
    <row r="7">
      <c r="A7" s="66" t="n">
        <v>6</v>
      </c>
      <c r="B7" s="66" t="n">
        <v>27</v>
      </c>
      <c r="C7" s="66" t="inlineStr">
        <is>
          <t>4 ก.ค. 2569</t>
        </is>
      </c>
      <c r="D7" s="66" t="b">
        <v>1</v>
      </c>
      <c r="E7" s="67" t="n">
        <v>0</v>
      </c>
      <c r="F7" s="67" t="n">
        <v>76.7991796</v>
      </c>
      <c r="G7" s="67" t="n">
        <v>0</v>
      </c>
      <c r="H7" s="67" t="n">
        <v>0</v>
      </c>
      <c r="I7" s="67" t="n">
        <v>4.74859688</v>
      </c>
      <c r="J7" s="67" t="n">
        <v>6.19858357</v>
      </c>
      <c r="K7" s="67" t="n">
        <v>0</v>
      </c>
      <c r="L7" s="67" t="n">
        <v>0</v>
      </c>
      <c r="M7" s="68">
        <f>SUM(E7:L7)</f>
        <v/>
      </c>
      <c r="N7" s="69" t="n">
        <v>0.000414480466</v>
      </c>
      <c r="O7" s="67" t="n">
        <v>0</v>
      </c>
      <c r="P7" s="67" t="n">
        <v>0</v>
      </c>
      <c r="Q7" s="67" t="n">
        <v>0</v>
      </c>
      <c r="R7" s="67" t="n">
        <v>0</v>
      </c>
      <c r="S7" s="67" t="n">
        <v>0</v>
      </c>
      <c r="T7" s="67" t="n">
        <v>0</v>
      </c>
      <c r="U7" s="67" t="n">
        <v>0</v>
      </c>
      <c r="V7" s="67" t="n">
        <v>0</v>
      </c>
      <c r="W7" s="68">
        <f>SUM(O7:V7)</f>
        <v/>
      </c>
      <c r="X7" s="69" t="n">
        <v>0</v>
      </c>
      <c r="Y7" s="66" t="n"/>
    </row>
    <row r="8">
      <c r="A8" s="66" t="n">
        <v>7</v>
      </c>
      <c r="B8" s="66" t="n">
        <v>27</v>
      </c>
      <c r="C8" s="66" t="inlineStr">
        <is>
          <t>5 ก.ค. 2569</t>
        </is>
      </c>
      <c r="D8" s="66" t="b">
        <v>1</v>
      </c>
      <c r="E8" s="67" t="n">
        <v>0</v>
      </c>
      <c r="F8" s="67" t="n">
        <v>76.7991796</v>
      </c>
      <c r="G8" s="67" t="n">
        <v>0</v>
      </c>
      <c r="H8" s="67" t="n">
        <v>0</v>
      </c>
      <c r="I8" s="67" t="n">
        <v>4.74859688</v>
      </c>
      <c r="J8" s="67" t="n">
        <v>6.19858357</v>
      </c>
      <c r="K8" s="67" t="n">
        <v>0</v>
      </c>
      <c r="L8" s="67" t="n">
        <v>0</v>
      </c>
      <c r="M8" s="68">
        <f>SUM(E8:L8)</f>
        <v/>
      </c>
      <c r="N8" s="69" t="n">
        <v>0.000414480466</v>
      </c>
      <c r="O8" s="67" t="n">
        <v>0</v>
      </c>
      <c r="P8" s="67" t="n">
        <v>0</v>
      </c>
      <c r="Q8" s="67" t="n">
        <v>0</v>
      </c>
      <c r="R8" s="67" t="n">
        <v>0</v>
      </c>
      <c r="S8" s="67" t="n">
        <v>0</v>
      </c>
      <c r="T8" s="67" t="n">
        <v>0</v>
      </c>
      <c r="U8" s="67" t="n">
        <v>0</v>
      </c>
      <c r="V8" s="67" t="n">
        <v>0</v>
      </c>
      <c r="W8" s="68">
        <f>SUM(O8:V8)</f>
        <v/>
      </c>
      <c r="X8" s="69" t="n">
        <v>0</v>
      </c>
      <c r="Y8" s="66" t="n"/>
    </row>
    <row r="9">
      <c r="A9" t="n">
        <v>8</v>
      </c>
      <c r="B9" t="n">
        <v>28</v>
      </c>
      <c r="C9" t="inlineStr">
        <is>
          <t>6 ก.ค. 2569</t>
        </is>
      </c>
      <c r="D9" t="b">
        <v>0</v>
      </c>
      <c r="E9" s="63" t="n">
        <v>-24273.8649</v>
      </c>
      <c r="F9" s="63" t="n">
        <v>76.7991796</v>
      </c>
      <c r="G9" s="63" t="n">
        <v>3.84615385</v>
      </c>
      <c r="H9" s="63" t="n">
        <v>6.70411662</v>
      </c>
      <c r="I9" s="63" t="n">
        <v>4.74859688</v>
      </c>
      <c r="J9" s="63" t="n">
        <v>6.19858357</v>
      </c>
      <c r="K9" s="63" t="n">
        <v>0</v>
      </c>
      <c r="L9" s="63" t="n">
        <v>0</v>
      </c>
      <c r="M9" s="64">
        <f>SUM(E9:L9)</f>
        <v/>
      </c>
      <c r="N9" s="65" t="n">
        <v>-0.114196199</v>
      </c>
      <c r="O9" s="63" t="n">
        <v>-20115.58</v>
      </c>
      <c r="P9" s="63" t="n">
        <v>0</v>
      </c>
      <c r="Q9" s="63" t="n">
        <v>0</v>
      </c>
      <c r="R9" s="63" t="n">
        <v>0</v>
      </c>
      <c r="S9" s="63" t="n">
        <v>0</v>
      </c>
      <c r="T9" s="63" t="n">
        <v>1280.26</v>
      </c>
      <c r="U9" s="63" t="n">
        <v>0</v>
      </c>
      <c r="V9" s="63" t="n">
        <v>0</v>
      </c>
      <c r="W9" s="64">
        <f>SUM(O9:V9)</f>
        <v/>
      </c>
      <c r="X9" s="65" t="n">
        <v>-0.08897089530000001</v>
      </c>
    </row>
    <row r="10">
      <c r="A10" t="n">
        <v>9</v>
      </c>
      <c r="B10" t="n">
        <v>28</v>
      </c>
      <c r="C10" t="inlineStr">
        <is>
          <t>7 ก.ค. 2569</t>
        </is>
      </c>
      <c r="D10" t="b">
        <v>0</v>
      </c>
      <c r="E10" s="63" t="n">
        <v>-24273.8649</v>
      </c>
      <c r="F10" s="63" t="n">
        <v>76.7991796</v>
      </c>
      <c r="G10" s="63" t="n">
        <v>3.84615385</v>
      </c>
      <c r="H10" s="63" t="n">
        <v>6.70411662</v>
      </c>
      <c r="I10" s="63" t="n">
        <v>4.74859688</v>
      </c>
      <c r="J10" s="63" t="n">
        <v>6.19858357</v>
      </c>
      <c r="K10" s="63" t="n">
        <v>0</v>
      </c>
      <c r="L10" s="63" t="n">
        <v>0</v>
      </c>
      <c r="M10" s="64">
        <f>SUM(E10:L10)</f>
        <v/>
      </c>
      <c r="N10" s="65" t="n">
        <v>-0.114196199</v>
      </c>
      <c r="O10" s="63" t="n">
        <v>-20144.4</v>
      </c>
      <c r="P10" s="63" t="n">
        <v>0</v>
      </c>
      <c r="Q10" s="63" t="n">
        <v>0</v>
      </c>
      <c r="R10" s="63" t="n">
        <v>0</v>
      </c>
      <c r="S10" s="63" t="n">
        <v>510.46</v>
      </c>
      <c r="T10" s="63" t="n">
        <v>0</v>
      </c>
      <c r="U10" s="63" t="n">
        <v>0</v>
      </c>
      <c r="V10" s="63" t="n">
        <v>0</v>
      </c>
      <c r="W10" s="64">
        <f>SUM(O10:V10)</f>
        <v/>
      </c>
      <c r="X10" s="65" t="n">
        <v>-0.0927432727</v>
      </c>
    </row>
    <row r="11">
      <c r="A11" t="n">
        <v>10</v>
      </c>
      <c r="B11" t="n">
        <v>28</v>
      </c>
      <c r="C11" t="inlineStr">
        <is>
          <t>8 ก.ค. 2569</t>
        </is>
      </c>
      <c r="D11" t="b">
        <v>0</v>
      </c>
      <c r="E11" s="63" t="n">
        <v>-24273.8649</v>
      </c>
      <c r="F11" s="63" t="n">
        <v>76.7991796</v>
      </c>
      <c r="G11" s="63" t="n">
        <v>3.84615385</v>
      </c>
      <c r="H11" s="63" t="n">
        <v>6.70411662</v>
      </c>
      <c r="I11" s="63" t="n">
        <v>4.74859688</v>
      </c>
      <c r="J11" s="63" t="n">
        <v>6.19858357</v>
      </c>
      <c r="K11" s="63" t="n">
        <v>0</v>
      </c>
      <c r="L11" s="63" t="n">
        <v>0</v>
      </c>
      <c r="M11" s="64">
        <f>SUM(E11:L11)</f>
        <v/>
      </c>
      <c r="N11" s="65" t="n">
        <v>-0.114196199</v>
      </c>
      <c r="O11" s="63" t="n">
        <v>-20742.5</v>
      </c>
      <c r="P11" s="63" t="n">
        <v>0</v>
      </c>
      <c r="Q11" s="63" t="n">
        <v>0</v>
      </c>
      <c r="R11" s="63" t="n">
        <v>0</v>
      </c>
      <c r="S11" s="63" t="n">
        <v>0</v>
      </c>
      <c r="T11" s="63" t="n">
        <v>162.43</v>
      </c>
      <c r="U11" s="63" t="n">
        <v>0</v>
      </c>
      <c r="V11" s="63" t="n">
        <v>0</v>
      </c>
      <c r="W11" s="64">
        <f>SUM(O11:V11)</f>
        <v/>
      </c>
      <c r="X11" s="65" t="n">
        <v>-0.09721243139999999</v>
      </c>
      <c r="Y11" s="63" t="n">
        <v>211702.0397</v>
      </c>
    </row>
    <row r="12">
      <c r="A12" t="n">
        <v>11</v>
      </c>
      <c r="B12" t="n">
        <v>28</v>
      </c>
      <c r="C12" t="inlineStr">
        <is>
          <t>9 ก.ค. 2569</t>
        </is>
      </c>
      <c r="D12" t="b">
        <v>0</v>
      </c>
      <c r="E12" s="63" t="n">
        <v>-24273.8649</v>
      </c>
      <c r="F12" s="63" t="n">
        <v>76.7991796</v>
      </c>
      <c r="G12" s="63" t="n">
        <v>3.84615385</v>
      </c>
      <c r="H12" s="63" t="n">
        <v>6.70411662</v>
      </c>
      <c r="I12" s="63" t="n">
        <v>4.74859688</v>
      </c>
      <c r="J12" s="63" t="n">
        <v>6.19858357</v>
      </c>
      <c r="K12" s="63" t="n">
        <v>0</v>
      </c>
      <c r="L12" s="63" t="n">
        <v>0</v>
      </c>
      <c r="M12" s="64">
        <f>SUM(E12:L12)</f>
        <v/>
      </c>
      <c r="N12" s="65" t="n">
        <v>-0.114196199</v>
      </c>
      <c r="O12" s="63" t="n">
        <v>0</v>
      </c>
      <c r="P12" s="63" t="n">
        <v>0</v>
      </c>
      <c r="Q12" s="63" t="n">
        <v>0</v>
      </c>
      <c r="R12" s="63" t="n">
        <v>0</v>
      </c>
      <c r="S12" s="63" t="n">
        <v>0</v>
      </c>
      <c r="T12" s="63" t="n">
        <v>0</v>
      </c>
      <c r="U12" s="63" t="n">
        <v>0</v>
      </c>
      <c r="V12" s="63" t="n">
        <v>0</v>
      </c>
      <c r="W12" s="64">
        <f>SUM(O12:V12)</f>
        <v/>
      </c>
      <c r="X12" s="65" t="n">
        <v>0</v>
      </c>
    </row>
    <row r="13">
      <c r="A13" t="n">
        <v>12</v>
      </c>
      <c r="B13" t="n">
        <v>28</v>
      </c>
      <c r="C13" t="inlineStr">
        <is>
          <t>10 ก.ค. 2569</t>
        </is>
      </c>
      <c r="D13" t="b">
        <v>0</v>
      </c>
      <c r="E13" s="63" t="n">
        <v>-24273.8649</v>
      </c>
      <c r="F13" s="63" t="n">
        <v>76.7991796</v>
      </c>
      <c r="G13" s="63" t="n">
        <v>3.84615385</v>
      </c>
      <c r="H13" s="63" t="n">
        <v>6.70411662</v>
      </c>
      <c r="I13" s="63" t="n">
        <v>4.74859688</v>
      </c>
      <c r="J13" s="63" t="n">
        <v>6.19858357</v>
      </c>
      <c r="K13" s="63" t="n">
        <v>0</v>
      </c>
      <c r="L13" s="63" t="n">
        <v>0</v>
      </c>
      <c r="M13" s="64">
        <f>SUM(E13:L13)</f>
        <v/>
      </c>
      <c r="N13" s="65" t="n">
        <v>-0.114196199</v>
      </c>
      <c r="O13" s="63" t="n">
        <v>0</v>
      </c>
      <c r="P13" s="63" t="n">
        <v>0</v>
      </c>
      <c r="Q13" s="63" t="n">
        <v>0</v>
      </c>
      <c r="R13" s="63" t="n">
        <v>0</v>
      </c>
      <c r="S13" s="63" t="n">
        <v>0</v>
      </c>
      <c r="T13" s="63" t="n">
        <v>0</v>
      </c>
      <c r="U13" s="63" t="n">
        <v>0</v>
      </c>
      <c r="V13" s="63" t="n">
        <v>0</v>
      </c>
      <c r="W13" s="64">
        <f>SUM(O13:V13)</f>
        <v/>
      </c>
      <c r="X13" s="65" t="n">
        <v>0</v>
      </c>
    </row>
    <row r="14">
      <c r="A14" s="66" t="n">
        <v>13</v>
      </c>
      <c r="B14" s="66" t="n">
        <v>28</v>
      </c>
      <c r="C14" s="66" t="inlineStr">
        <is>
          <t>11 ก.ค. 2569</t>
        </is>
      </c>
      <c r="D14" s="66" t="b">
        <v>1</v>
      </c>
      <c r="E14" s="67" t="n">
        <v>0</v>
      </c>
      <c r="F14" s="67" t="n">
        <v>76.7991796</v>
      </c>
      <c r="G14" s="67" t="n">
        <v>0</v>
      </c>
      <c r="H14" s="67" t="n">
        <v>0</v>
      </c>
      <c r="I14" s="67" t="n">
        <v>4.74859688</v>
      </c>
      <c r="J14" s="67" t="n">
        <v>6.19858357</v>
      </c>
      <c r="K14" s="67" t="n">
        <v>0</v>
      </c>
      <c r="L14" s="67" t="n">
        <v>0</v>
      </c>
      <c r="M14" s="68">
        <f>SUM(E14:L14)</f>
        <v/>
      </c>
      <c r="N14" s="69" t="n">
        <v>0.000414480466</v>
      </c>
      <c r="O14" s="67" t="n">
        <v>0</v>
      </c>
      <c r="P14" s="67" t="n">
        <v>0</v>
      </c>
      <c r="Q14" s="67" t="n">
        <v>0</v>
      </c>
      <c r="R14" s="67" t="n">
        <v>0</v>
      </c>
      <c r="S14" s="67" t="n">
        <v>0</v>
      </c>
      <c r="T14" s="67" t="n">
        <v>0</v>
      </c>
      <c r="U14" s="67" t="n">
        <v>0</v>
      </c>
      <c r="V14" s="67" t="n">
        <v>0</v>
      </c>
      <c r="W14" s="68">
        <f>SUM(O14:V14)</f>
        <v/>
      </c>
      <c r="X14" s="69" t="n">
        <v>0</v>
      </c>
      <c r="Y14" s="66" t="n"/>
    </row>
    <row r="15">
      <c r="A15" s="66" t="n">
        <v>14</v>
      </c>
      <c r="B15" s="66" t="n">
        <v>28</v>
      </c>
      <c r="C15" s="66" t="inlineStr">
        <is>
          <t>12 ก.ค. 2569</t>
        </is>
      </c>
      <c r="D15" s="66" t="b">
        <v>1</v>
      </c>
      <c r="E15" s="67" t="n">
        <v>0</v>
      </c>
      <c r="F15" s="67" t="n">
        <v>76.7991796</v>
      </c>
      <c r="G15" s="67" t="n">
        <v>0</v>
      </c>
      <c r="H15" s="67" t="n">
        <v>0</v>
      </c>
      <c r="I15" s="67" t="n">
        <v>4.74859688</v>
      </c>
      <c r="J15" s="67" t="n">
        <v>6.19858357</v>
      </c>
      <c r="K15" s="67" t="n">
        <v>0</v>
      </c>
      <c r="L15" s="67" t="n">
        <v>0</v>
      </c>
      <c r="M15" s="68">
        <f>SUM(E15:L15)</f>
        <v/>
      </c>
      <c r="N15" s="69" t="n">
        <v>0.000414480466</v>
      </c>
      <c r="O15" s="67" t="n">
        <v>0</v>
      </c>
      <c r="P15" s="67" t="n">
        <v>0</v>
      </c>
      <c r="Q15" s="67" t="n">
        <v>0</v>
      </c>
      <c r="R15" s="67" t="n">
        <v>0</v>
      </c>
      <c r="S15" s="67" t="n">
        <v>0</v>
      </c>
      <c r="T15" s="67" t="n">
        <v>0</v>
      </c>
      <c r="U15" s="67" t="n">
        <v>0</v>
      </c>
      <c r="V15" s="67" t="n">
        <v>0</v>
      </c>
      <c r="W15" s="68">
        <f>SUM(O15:V15)</f>
        <v/>
      </c>
      <c r="X15" s="69" t="n">
        <v>0</v>
      </c>
      <c r="Y15" s="66" t="n"/>
    </row>
    <row r="16">
      <c r="A16" t="n">
        <v>15</v>
      </c>
      <c r="B16" t="n">
        <v>29</v>
      </c>
      <c r="C16" t="inlineStr">
        <is>
          <t>13 ก.ค. 2569</t>
        </is>
      </c>
      <c r="D16" t="b">
        <v>0</v>
      </c>
      <c r="E16" s="63" t="n">
        <v>-24273.8649</v>
      </c>
      <c r="F16" s="63" t="n">
        <v>76.7991796</v>
      </c>
      <c r="G16" s="63" t="n">
        <v>3.84615385</v>
      </c>
      <c r="H16" s="63" t="n">
        <v>6.70411662</v>
      </c>
      <c r="I16" s="63" t="n">
        <v>4.74859688</v>
      </c>
      <c r="J16" s="63" t="n">
        <v>6.19858357</v>
      </c>
      <c r="K16" s="63" t="n">
        <v>0</v>
      </c>
      <c r="L16" s="63" t="n">
        <v>0</v>
      </c>
      <c r="M16" s="64">
        <f>SUM(E16:L16)</f>
        <v/>
      </c>
      <c r="N16" s="65" t="n">
        <v>-0.114196199</v>
      </c>
      <c r="O16" s="63" t="n">
        <v>0</v>
      </c>
      <c r="P16" s="63" t="n">
        <v>0</v>
      </c>
      <c r="Q16" s="63" t="n">
        <v>0</v>
      </c>
      <c r="R16" s="63" t="n">
        <v>0</v>
      </c>
      <c r="S16" s="63" t="n">
        <v>0</v>
      </c>
      <c r="T16" s="63" t="n">
        <v>0</v>
      </c>
      <c r="U16" s="63" t="n">
        <v>0</v>
      </c>
      <c r="V16" s="63" t="n">
        <v>0</v>
      </c>
      <c r="W16" s="64">
        <f>SUM(O16:V16)</f>
        <v/>
      </c>
      <c r="X16" s="65" t="n">
        <v>0</v>
      </c>
    </row>
    <row r="17">
      <c r="A17" t="n">
        <v>16</v>
      </c>
      <c r="B17" t="n">
        <v>29</v>
      </c>
      <c r="C17" t="inlineStr">
        <is>
          <t>14 ก.ค. 2569</t>
        </is>
      </c>
      <c r="D17" t="b">
        <v>0</v>
      </c>
      <c r="E17" s="63" t="n">
        <v>-24273.8649</v>
      </c>
      <c r="F17" s="63" t="n">
        <v>76.7991796</v>
      </c>
      <c r="G17" s="63" t="n">
        <v>3.84615385</v>
      </c>
      <c r="H17" s="63" t="n">
        <v>6.70411662</v>
      </c>
      <c r="I17" s="63" t="n">
        <v>4.74859688</v>
      </c>
      <c r="J17" s="63" t="n">
        <v>6.19858357</v>
      </c>
      <c r="K17" s="63" t="n">
        <v>0</v>
      </c>
      <c r="L17" s="63" t="n">
        <v>0</v>
      </c>
      <c r="M17" s="64">
        <f>SUM(E17:L17)</f>
        <v/>
      </c>
      <c r="N17" s="65" t="n">
        <v>-0.114196199</v>
      </c>
      <c r="O17" s="63" t="n">
        <v>0</v>
      </c>
      <c r="P17" s="63" t="n">
        <v>0</v>
      </c>
      <c r="Q17" s="63" t="n">
        <v>0</v>
      </c>
      <c r="R17" s="63" t="n">
        <v>0</v>
      </c>
      <c r="S17" s="63" t="n">
        <v>0</v>
      </c>
      <c r="T17" s="63" t="n">
        <v>0</v>
      </c>
      <c r="U17" s="63" t="n">
        <v>0</v>
      </c>
      <c r="V17" s="63" t="n">
        <v>0</v>
      </c>
      <c r="W17" s="64">
        <f>SUM(O17:V17)</f>
        <v/>
      </c>
      <c r="X17" s="65" t="n">
        <v>0</v>
      </c>
    </row>
    <row r="18">
      <c r="A18" t="n">
        <v>17</v>
      </c>
      <c r="B18" t="n">
        <v>29</v>
      </c>
      <c r="C18" t="inlineStr">
        <is>
          <t>15 ก.ค. 2569</t>
        </is>
      </c>
      <c r="D18" t="b">
        <v>0</v>
      </c>
      <c r="E18" s="63" t="n">
        <v>-24273.8649</v>
      </c>
      <c r="F18" s="63" t="n">
        <v>76.7991796</v>
      </c>
      <c r="G18" s="63" t="n">
        <v>3.84615385</v>
      </c>
      <c r="H18" s="63" t="n">
        <v>6.70411662</v>
      </c>
      <c r="I18" s="63" t="n">
        <v>4.74859688</v>
      </c>
      <c r="J18" s="63" t="n">
        <v>6.19858357</v>
      </c>
      <c r="K18" s="63" t="n">
        <v>0</v>
      </c>
      <c r="L18" s="63" t="n">
        <v>0</v>
      </c>
      <c r="M18" s="64">
        <f>SUM(E18:L18)</f>
        <v/>
      </c>
      <c r="N18" s="65" t="n">
        <v>-0.114196199</v>
      </c>
      <c r="O18" s="63" t="n">
        <v>0</v>
      </c>
      <c r="P18" s="63" t="n">
        <v>0</v>
      </c>
      <c r="Q18" s="63" t="n">
        <v>0</v>
      </c>
      <c r="R18" s="63" t="n">
        <v>0</v>
      </c>
      <c r="S18" s="63" t="n">
        <v>0</v>
      </c>
      <c r="T18" s="63" t="n">
        <v>0</v>
      </c>
      <c r="U18" s="63" t="n">
        <v>0</v>
      </c>
      <c r="V18" s="63" t="n">
        <v>0</v>
      </c>
      <c r="W18" s="64">
        <f>SUM(O18:V18)</f>
        <v/>
      </c>
      <c r="X18" s="65" t="n">
        <v>0</v>
      </c>
    </row>
    <row r="19">
      <c r="A19" t="n">
        <v>18</v>
      </c>
      <c r="B19" t="n">
        <v>29</v>
      </c>
      <c r="C19" t="inlineStr">
        <is>
          <t>16 ก.ค. 2569</t>
        </is>
      </c>
      <c r="D19" t="b">
        <v>0</v>
      </c>
      <c r="E19" s="63" t="n">
        <v>-24273.8649</v>
      </c>
      <c r="F19" s="63" t="n">
        <v>76.7991796</v>
      </c>
      <c r="G19" s="63" t="n">
        <v>3.84615385</v>
      </c>
      <c r="H19" s="63" t="n">
        <v>6.70411662</v>
      </c>
      <c r="I19" s="63" t="n">
        <v>4.74859688</v>
      </c>
      <c r="J19" s="63" t="n">
        <v>6.19858357</v>
      </c>
      <c r="K19" s="63" t="n">
        <v>0</v>
      </c>
      <c r="L19" s="63" t="n">
        <v>0</v>
      </c>
      <c r="M19" s="64">
        <f>SUM(E19:L19)</f>
        <v/>
      </c>
      <c r="N19" s="65" t="n">
        <v>-0.114196199</v>
      </c>
      <c r="O19" s="63" t="n">
        <v>0</v>
      </c>
      <c r="P19" s="63" t="n">
        <v>0</v>
      </c>
      <c r="Q19" s="63" t="n">
        <v>0</v>
      </c>
      <c r="R19" s="63" t="n">
        <v>0</v>
      </c>
      <c r="S19" s="63" t="n">
        <v>0</v>
      </c>
      <c r="T19" s="63" t="n">
        <v>0</v>
      </c>
      <c r="U19" s="63" t="n">
        <v>0</v>
      </c>
      <c r="V19" s="63" t="n">
        <v>0</v>
      </c>
      <c r="W19" s="64">
        <f>SUM(O19:V19)</f>
        <v/>
      </c>
      <c r="X19" s="65" t="n">
        <v>0</v>
      </c>
    </row>
    <row r="20">
      <c r="A20" t="n">
        <v>19</v>
      </c>
      <c r="B20" t="n">
        <v>29</v>
      </c>
      <c r="C20" t="inlineStr">
        <is>
          <t>17 ก.ค. 2569</t>
        </is>
      </c>
      <c r="D20" t="b">
        <v>0</v>
      </c>
      <c r="E20" s="63" t="n">
        <v>-24273.8649</v>
      </c>
      <c r="F20" s="63" t="n">
        <v>76.7991796</v>
      </c>
      <c r="G20" s="63" t="n">
        <v>3.84615385</v>
      </c>
      <c r="H20" s="63" t="n">
        <v>6.70411662</v>
      </c>
      <c r="I20" s="63" t="n">
        <v>4.74859688</v>
      </c>
      <c r="J20" s="63" t="n">
        <v>6.19858357</v>
      </c>
      <c r="K20" s="63" t="n">
        <v>0</v>
      </c>
      <c r="L20" s="63" t="n">
        <v>0</v>
      </c>
      <c r="M20" s="64">
        <f>SUM(E20:L20)</f>
        <v/>
      </c>
      <c r="N20" s="65" t="n">
        <v>-0.114196199</v>
      </c>
      <c r="O20" s="63" t="n">
        <v>0</v>
      </c>
      <c r="P20" s="63" t="n">
        <v>0</v>
      </c>
      <c r="Q20" s="63" t="n">
        <v>0</v>
      </c>
      <c r="R20" s="63" t="n">
        <v>0</v>
      </c>
      <c r="S20" s="63" t="n">
        <v>0</v>
      </c>
      <c r="T20" s="63" t="n">
        <v>0</v>
      </c>
      <c r="U20" s="63" t="n">
        <v>0</v>
      </c>
      <c r="V20" s="63" t="n">
        <v>0</v>
      </c>
      <c r="W20" s="64">
        <f>SUM(O20:V20)</f>
        <v/>
      </c>
      <c r="X20" s="65" t="n">
        <v>0</v>
      </c>
    </row>
    <row r="21">
      <c r="A21" s="66" t="n">
        <v>20</v>
      </c>
      <c r="B21" s="66" t="n">
        <v>29</v>
      </c>
      <c r="C21" s="66" t="inlineStr">
        <is>
          <t>18 ก.ค. 2569</t>
        </is>
      </c>
      <c r="D21" s="66" t="b">
        <v>1</v>
      </c>
      <c r="E21" s="67" t="n">
        <v>0</v>
      </c>
      <c r="F21" s="67" t="n">
        <v>76.7991796</v>
      </c>
      <c r="G21" s="67" t="n">
        <v>0</v>
      </c>
      <c r="H21" s="67" t="n">
        <v>0</v>
      </c>
      <c r="I21" s="67" t="n">
        <v>4.74859688</v>
      </c>
      <c r="J21" s="67" t="n">
        <v>6.19858357</v>
      </c>
      <c r="K21" s="67" t="n">
        <v>0</v>
      </c>
      <c r="L21" s="67" t="n">
        <v>0</v>
      </c>
      <c r="M21" s="68">
        <f>SUM(E21:L21)</f>
        <v/>
      </c>
      <c r="N21" s="69" t="n">
        <v>0.000414480466</v>
      </c>
      <c r="O21" s="67" t="n">
        <v>0</v>
      </c>
      <c r="P21" s="67" t="n">
        <v>0</v>
      </c>
      <c r="Q21" s="67" t="n">
        <v>0</v>
      </c>
      <c r="R21" s="67" t="n">
        <v>0</v>
      </c>
      <c r="S21" s="67" t="n">
        <v>0</v>
      </c>
      <c r="T21" s="67" t="n">
        <v>0</v>
      </c>
      <c r="U21" s="67" t="n">
        <v>0</v>
      </c>
      <c r="V21" s="67" t="n">
        <v>0</v>
      </c>
      <c r="W21" s="68">
        <f>SUM(O21:V21)</f>
        <v/>
      </c>
      <c r="X21" s="69" t="n">
        <v>0</v>
      </c>
      <c r="Y21" s="66" t="n"/>
    </row>
    <row r="22">
      <c r="A22" s="66" t="n">
        <v>21</v>
      </c>
      <c r="B22" s="66" t="n">
        <v>29</v>
      </c>
      <c r="C22" s="66" t="inlineStr">
        <is>
          <t>19 ก.ค. 2569</t>
        </is>
      </c>
      <c r="D22" s="66" t="b">
        <v>1</v>
      </c>
      <c r="E22" s="67" t="n">
        <v>0</v>
      </c>
      <c r="F22" s="67" t="n">
        <v>76.7991796</v>
      </c>
      <c r="G22" s="67" t="n">
        <v>0</v>
      </c>
      <c r="H22" s="67" t="n">
        <v>0</v>
      </c>
      <c r="I22" s="67" t="n">
        <v>4.74859688</v>
      </c>
      <c r="J22" s="67" t="n">
        <v>6.19858357</v>
      </c>
      <c r="K22" s="67" t="n">
        <v>0</v>
      </c>
      <c r="L22" s="67" t="n">
        <v>0</v>
      </c>
      <c r="M22" s="68">
        <f>SUM(E22:L22)</f>
        <v/>
      </c>
      <c r="N22" s="69" t="n">
        <v>0.000296057476</v>
      </c>
      <c r="O22" s="67" t="n">
        <v>0</v>
      </c>
      <c r="P22" s="67" t="n">
        <v>0</v>
      </c>
      <c r="Q22" s="67" t="n">
        <v>0</v>
      </c>
      <c r="R22" s="67" t="n">
        <v>0</v>
      </c>
      <c r="S22" s="67" t="n">
        <v>0</v>
      </c>
      <c r="T22" s="67" t="n">
        <v>0</v>
      </c>
      <c r="U22" s="67" t="n">
        <v>0</v>
      </c>
      <c r="V22" s="67" t="n">
        <v>0</v>
      </c>
      <c r="W22" s="68">
        <f>SUM(O22:V22)</f>
        <v/>
      </c>
      <c r="X22" s="69" t="n">
        <v>0</v>
      </c>
      <c r="Y22" s="66" t="n"/>
    </row>
    <row r="23">
      <c r="A23" t="n">
        <v>22</v>
      </c>
      <c r="B23" t="n">
        <v>30</v>
      </c>
      <c r="C23" t="inlineStr">
        <is>
          <t>20 ก.ค. 2569</t>
        </is>
      </c>
      <c r="D23" t="b">
        <v>0</v>
      </c>
      <c r="E23" s="63" t="n">
        <v>-24273.8649</v>
      </c>
      <c r="F23" s="63" t="n">
        <v>76.7991796</v>
      </c>
      <c r="G23" s="63" t="n">
        <v>3.84615385</v>
      </c>
      <c r="H23" s="63" t="n">
        <v>6.70411662</v>
      </c>
      <c r="I23" s="63" t="n">
        <v>4.74859688</v>
      </c>
      <c r="J23" s="63" t="n">
        <v>6.19858357</v>
      </c>
      <c r="K23" s="63" t="n">
        <v>0</v>
      </c>
      <c r="L23" s="63" t="n">
        <v>0</v>
      </c>
      <c r="M23" s="64">
        <f>SUM(E23:L23)</f>
        <v/>
      </c>
      <c r="N23" s="65" t="n">
        <v>-0.114196199</v>
      </c>
      <c r="O23" s="63" t="n">
        <v>0</v>
      </c>
      <c r="P23" s="63" t="n">
        <v>0</v>
      </c>
      <c r="Q23" s="63" t="n">
        <v>0</v>
      </c>
      <c r="R23" s="63" t="n">
        <v>0</v>
      </c>
      <c r="S23" s="63" t="n">
        <v>0</v>
      </c>
      <c r="T23" s="63" t="n">
        <v>0</v>
      </c>
      <c r="U23" s="63" t="n">
        <v>0</v>
      </c>
      <c r="V23" s="63" t="n">
        <v>0</v>
      </c>
      <c r="W23" s="64">
        <f>SUM(O23:V23)</f>
        <v/>
      </c>
      <c r="X23" s="65" t="n">
        <v>0</v>
      </c>
    </row>
    <row r="24">
      <c r="A24" t="n">
        <v>23</v>
      </c>
      <c r="B24" t="n">
        <v>30</v>
      </c>
      <c r="C24" t="inlineStr">
        <is>
          <t>21 ก.ค. 2569</t>
        </is>
      </c>
      <c r="D24" t="b">
        <v>0</v>
      </c>
      <c r="E24" s="63" t="n">
        <v>-24273.8649</v>
      </c>
      <c r="F24" s="63" t="n">
        <v>76.7991796</v>
      </c>
      <c r="G24" s="63" t="n">
        <v>3.84615385</v>
      </c>
      <c r="H24" s="63" t="n">
        <v>6.70411662</v>
      </c>
      <c r="I24" s="63" t="n">
        <v>4.74859688</v>
      </c>
      <c r="J24" s="63" t="n">
        <v>6.19858357</v>
      </c>
      <c r="K24" s="63" t="n">
        <v>0</v>
      </c>
      <c r="L24" s="63" t="n">
        <v>0</v>
      </c>
      <c r="M24" s="64">
        <f>SUM(E24:L24)</f>
        <v/>
      </c>
      <c r="N24" s="65" t="n">
        <v>-0.114196199</v>
      </c>
      <c r="O24" s="63" t="n">
        <v>0</v>
      </c>
      <c r="P24" s="63" t="n">
        <v>0</v>
      </c>
      <c r="Q24" s="63" t="n">
        <v>0</v>
      </c>
      <c r="R24" s="63" t="n">
        <v>0</v>
      </c>
      <c r="S24" s="63" t="n">
        <v>0</v>
      </c>
      <c r="T24" s="63" t="n">
        <v>0</v>
      </c>
      <c r="U24" s="63" t="n">
        <v>0</v>
      </c>
      <c r="V24" s="63" t="n">
        <v>0</v>
      </c>
      <c r="W24" s="64">
        <f>SUM(O24:V24)</f>
        <v/>
      </c>
      <c r="X24" s="65" t="n">
        <v>0</v>
      </c>
    </row>
    <row r="25">
      <c r="A25" t="n">
        <v>24</v>
      </c>
      <c r="B25" t="n">
        <v>30</v>
      </c>
      <c r="C25" t="inlineStr">
        <is>
          <t>22 ก.ค. 2569</t>
        </is>
      </c>
      <c r="D25" t="b">
        <v>0</v>
      </c>
      <c r="E25" s="63" t="n">
        <v>-24273.8649</v>
      </c>
      <c r="F25" s="63" t="n">
        <v>76.7991796</v>
      </c>
      <c r="G25" s="63" t="n">
        <v>3.84615385</v>
      </c>
      <c r="H25" s="63" t="n">
        <v>6.70411662</v>
      </c>
      <c r="I25" s="63" t="n">
        <v>4.74859688</v>
      </c>
      <c r="J25" s="63" t="n">
        <v>6.19858357</v>
      </c>
      <c r="K25" s="63" t="n">
        <v>0</v>
      </c>
      <c r="L25" s="63" t="n">
        <v>0</v>
      </c>
      <c r="M25" s="64">
        <f>SUM(E25:L25)</f>
        <v/>
      </c>
      <c r="N25" s="65" t="n">
        <v>-0.114196199</v>
      </c>
      <c r="O25" s="63" t="n">
        <v>0</v>
      </c>
      <c r="P25" s="63" t="n">
        <v>0</v>
      </c>
      <c r="Q25" s="63" t="n">
        <v>0</v>
      </c>
      <c r="R25" s="63" t="n">
        <v>0</v>
      </c>
      <c r="S25" s="63" t="n">
        <v>0</v>
      </c>
      <c r="T25" s="63" t="n">
        <v>0</v>
      </c>
      <c r="U25" s="63" t="n">
        <v>0</v>
      </c>
      <c r="V25" s="63" t="n">
        <v>0</v>
      </c>
      <c r="W25" s="64">
        <f>SUM(O25:V25)</f>
        <v/>
      </c>
      <c r="X25" s="65" t="n">
        <v>0</v>
      </c>
    </row>
    <row r="26">
      <c r="A26" t="n">
        <v>25</v>
      </c>
      <c r="B26" t="n">
        <v>30</v>
      </c>
      <c r="C26" t="inlineStr">
        <is>
          <t>23 ก.ค. 2569</t>
        </is>
      </c>
      <c r="D26" t="b">
        <v>0</v>
      </c>
      <c r="E26" s="63" t="n">
        <v>-24273.8649</v>
      </c>
      <c r="F26" s="63" t="n">
        <v>76.7991796</v>
      </c>
      <c r="G26" s="63" t="n">
        <v>3.84615385</v>
      </c>
      <c r="H26" s="63" t="n">
        <v>6.70411662</v>
      </c>
      <c r="I26" s="63" t="n">
        <v>4.74859688</v>
      </c>
      <c r="J26" s="63" t="n">
        <v>6.19858357</v>
      </c>
      <c r="K26" s="63" t="n">
        <v>0</v>
      </c>
      <c r="L26" s="63" t="n">
        <v>0</v>
      </c>
      <c r="M26" s="64">
        <f>SUM(E26:L26)</f>
        <v/>
      </c>
      <c r="N26" s="65" t="n">
        <v>-0.114196199</v>
      </c>
      <c r="O26" s="63" t="n">
        <v>0</v>
      </c>
      <c r="P26" s="63" t="n">
        <v>0</v>
      </c>
      <c r="Q26" s="63" t="n">
        <v>0</v>
      </c>
      <c r="R26" s="63" t="n">
        <v>0</v>
      </c>
      <c r="S26" s="63" t="n">
        <v>0</v>
      </c>
      <c r="T26" s="63" t="n">
        <v>0</v>
      </c>
      <c r="U26" s="63" t="n">
        <v>0</v>
      </c>
      <c r="V26" s="63" t="n">
        <v>0</v>
      </c>
      <c r="W26" s="64">
        <f>SUM(O26:V26)</f>
        <v/>
      </c>
      <c r="X26" s="65" t="n">
        <v>0</v>
      </c>
    </row>
    <row r="27">
      <c r="A27" t="n">
        <v>26</v>
      </c>
      <c r="B27" t="n">
        <v>30</v>
      </c>
      <c r="C27" t="inlineStr">
        <is>
          <t>24 ก.ค. 2569</t>
        </is>
      </c>
      <c r="D27" t="b">
        <v>0</v>
      </c>
      <c r="E27" s="63" t="n">
        <v>-24273.8649</v>
      </c>
      <c r="F27" s="63" t="n">
        <v>76.7991796</v>
      </c>
      <c r="G27" s="63" t="n">
        <v>3.84615385</v>
      </c>
      <c r="H27" s="63" t="n">
        <v>6.70411662</v>
      </c>
      <c r="I27" s="63" t="n">
        <v>4.74859688</v>
      </c>
      <c r="J27" s="63" t="n">
        <v>6.19858357</v>
      </c>
      <c r="K27" s="63" t="n">
        <v>0</v>
      </c>
      <c r="L27" s="63" t="n">
        <v>0</v>
      </c>
      <c r="M27" s="64">
        <f>SUM(E27:L27)</f>
        <v/>
      </c>
      <c r="N27" s="65" t="n">
        <v>-0.114196199</v>
      </c>
      <c r="O27" s="63" t="n">
        <v>0</v>
      </c>
      <c r="P27" s="63" t="n">
        <v>0</v>
      </c>
      <c r="Q27" s="63" t="n">
        <v>0</v>
      </c>
      <c r="R27" s="63" t="n">
        <v>0</v>
      </c>
      <c r="S27" s="63" t="n">
        <v>0</v>
      </c>
      <c r="T27" s="63" t="n">
        <v>0</v>
      </c>
      <c r="U27" s="63" t="n">
        <v>0</v>
      </c>
      <c r="V27" s="63" t="n">
        <v>0</v>
      </c>
      <c r="W27" s="64">
        <f>SUM(O27:V27)</f>
        <v/>
      </c>
      <c r="X27" s="65" t="n">
        <v>0</v>
      </c>
    </row>
    <row r="28">
      <c r="A28" s="66" t="n">
        <v>27</v>
      </c>
      <c r="B28" s="66" t="n">
        <v>30</v>
      </c>
      <c r="C28" s="66" t="inlineStr">
        <is>
          <t>25 ก.ค. 2569</t>
        </is>
      </c>
      <c r="D28" s="66" t="b">
        <v>1</v>
      </c>
      <c r="E28" s="67" t="n">
        <v>0</v>
      </c>
      <c r="F28" s="67" t="n">
        <v>76.7991796</v>
      </c>
      <c r="G28" s="67" t="n">
        <v>0</v>
      </c>
      <c r="H28" s="67" t="n">
        <v>0</v>
      </c>
      <c r="I28" s="67" t="n">
        <v>4.74859688</v>
      </c>
      <c r="J28" s="67" t="n">
        <v>6.19858357</v>
      </c>
      <c r="K28" s="67" t="n">
        <v>0</v>
      </c>
      <c r="L28" s="67" t="n">
        <v>0</v>
      </c>
      <c r="M28" s="68">
        <f>SUM(E28:L28)</f>
        <v/>
      </c>
      <c r="N28" s="69" t="n">
        <v>0.000414480466</v>
      </c>
      <c r="O28" s="67" t="n">
        <v>0</v>
      </c>
      <c r="P28" s="67" t="n">
        <v>0</v>
      </c>
      <c r="Q28" s="67" t="n">
        <v>0</v>
      </c>
      <c r="R28" s="67" t="n">
        <v>0</v>
      </c>
      <c r="S28" s="67" t="n">
        <v>0</v>
      </c>
      <c r="T28" s="67" t="n">
        <v>0</v>
      </c>
      <c r="U28" s="67" t="n">
        <v>0</v>
      </c>
      <c r="V28" s="67" t="n">
        <v>0</v>
      </c>
      <c r="W28" s="68">
        <f>SUM(O28:V28)</f>
        <v/>
      </c>
      <c r="X28" s="69" t="n">
        <v>0</v>
      </c>
      <c r="Y28" s="66" t="n"/>
    </row>
    <row r="29">
      <c r="A29" s="66" t="n">
        <v>28</v>
      </c>
      <c r="B29" s="66" t="n">
        <v>30</v>
      </c>
      <c r="C29" s="66" t="inlineStr">
        <is>
          <t>26 ก.ค. 2569</t>
        </is>
      </c>
      <c r="D29" s="66" t="b">
        <v>1</v>
      </c>
      <c r="E29" s="67" t="n">
        <v>0</v>
      </c>
      <c r="F29" s="67" t="n">
        <v>76.7991796</v>
      </c>
      <c r="G29" s="67" t="n">
        <v>0</v>
      </c>
      <c r="H29" s="67" t="n">
        <v>0</v>
      </c>
      <c r="I29" s="67" t="n">
        <v>4.74859688</v>
      </c>
      <c r="J29" s="67" t="n">
        <v>6.19858357</v>
      </c>
      <c r="K29" s="67" t="n">
        <v>0</v>
      </c>
      <c r="L29" s="67" t="n">
        <v>0</v>
      </c>
      <c r="M29" s="68">
        <f>SUM(E29:L29)</f>
        <v/>
      </c>
      <c r="N29" s="69" t="n">
        <v>0.000414480466</v>
      </c>
      <c r="O29" s="67" t="n">
        <v>0</v>
      </c>
      <c r="P29" s="67" t="n">
        <v>0</v>
      </c>
      <c r="Q29" s="67" t="n">
        <v>0</v>
      </c>
      <c r="R29" s="67" t="n">
        <v>0</v>
      </c>
      <c r="S29" s="67" t="n">
        <v>0</v>
      </c>
      <c r="T29" s="67" t="n">
        <v>0</v>
      </c>
      <c r="U29" s="67" t="n">
        <v>0</v>
      </c>
      <c r="V29" s="67" t="n">
        <v>0</v>
      </c>
      <c r="W29" s="68">
        <f>SUM(O29:V29)</f>
        <v/>
      </c>
      <c r="X29" s="69" t="n">
        <v>0</v>
      </c>
      <c r="Y29" s="66" t="n"/>
    </row>
    <row r="31">
      <c r="B31" s="70" t="inlineStr">
        <is>
          <t>Config</t>
        </is>
      </c>
    </row>
    <row r="32">
      <c r="B32" s="71" t="inlineStr">
        <is>
          <t>TodayDay (วันที่ปัจจุบัน 1-28)</t>
        </is>
      </c>
      <c r="C32" s="72" t="n">
        <v>11</v>
      </c>
    </row>
    <row r="33">
      <c r="B33" s="71" t="inlineStr">
        <is>
          <t>RevenueMonth (บาท)</t>
        </is>
      </c>
      <c r="C33" s="73" t="n">
        <v>5927657.111</v>
      </c>
    </row>
    <row r="34">
      <c r="B34" s="71" t="inlineStr">
        <is>
          <t>Incentive Target ประจำวัน (บาท)</t>
        </is>
      </c>
      <c r="C34" s="73" t="n">
        <v>26.36813187</v>
      </c>
    </row>
    <row r="35">
      <c r="B35" s="71" t="inlineStr">
        <is>
          <t>Incentive Actual ประจำวัน (บาท)</t>
        </is>
      </c>
      <c r="C35" s="73" t="n">
        <v>162.43</v>
      </c>
    </row>
    <row r="36">
      <c r="B36" s="74" t="inlineStr">
        <is>
          <t>หมายเหตุ: เปลี่ยน TodayDay เพื่อเลื่อนวันที่ใช้คำนวณ Breakdown / KPI วันล่าสุด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2026-07-09T06:17:43Z</dcterms:created>
  <dcterms:modified xsi:type="dcterms:W3CDTF">2026-07-09T06:17:44Z</dcterms:modified>
</cp:coreProperties>
</file>