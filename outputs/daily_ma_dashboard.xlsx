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MA" sheetId="2" state="visible" r:id="rId4"/>
    <sheet name="RawData" sheetId="3" state="visible" r:id="rId5"/>
  </sheets>
  <definedNames>
    <definedName function="false" hidden="false" name="IncentiveActual" vbProcedure="false">RawData!$C$35</definedName>
    <definedName function="false" hidden="false" name="IncentiveTarget" vbProcedure="false">RawData!$C$34</definedName>
    <definedName function="false" hidden="false" name="RevenueMonth" vbProcedure="false">RawData!$C$33</definedName>
    <definedName function="false" hidden="false" name="TodayDay" vbProcedure="false">RawData!$C$32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<sst xmlns="http://schemas.openxmlformats.org/spreadsheetml/2006/main" count="275" uniqueCount="126">
  <si>
    <t xml:space="preserve">📊 Daily MA Dashboard — PCRC</t>
  </si>
  <si>
    <t xml:space="preserve">📆 สะสม (29 มิถุนายน – 26 กรกฎาคม 2569) สัปดาห์ 27–30</t>
  </si>
  <si>
    <t xml:space="preserve">Revenue ของสายธุรกิจ</t>
  </si>
  <si>
    <t xml:space="preserve">Gross MA Actual</t>
  </si>
  <si>
    <t xml:space="preserve">Gross MA Target</t>
  </si>
  <si>
    <t xml:space="preserve">Gap (Actual − Target)</t>
  </si>
  <si>
    <t xml:space="preserve">%MA/Revenue Actual</t>
  </si>
  <si>
    <t xml:space="preserve">%MA/Revenue Target</t>
  </si>
  <si>
    <t xml:space="preserve">Incentive ประจำวัน (บาท)</t>
  </si>
  <si>
    <t xml:space="preserve">Gross MA รายเดือน (บาท)</t>
  </si>
  <si>
    <t xml:space="preserve">Daily Gross MA วันล่าสุด (บาท)</t>
  </si>
  <si>
    <t xml:space="preserve">%MA/Revenue วันล่าสุด</t>
  </si>
  <si>
    <t xml:space="preserve">%MA/Revenue สะสมเดือน</t>
  </si>
  <si>
    <t xml:space="preserve">📈 Target vs Actual %MA รายวัน</t>
  </si>
  <si>
    <t xml:space="preserve">📊 Components สะสม (Target vs Actual)</t>
  </si>
  <si>
    <t xml:space="preserve">JRTS</t>
  </si>
  <si>
    <t xml:space="preserve">Association Product</t>
  </si>
  <si>
    <t xml:space="preserve">Association Refer</t>
  </si>
  <si>
    <t xml:space="preserve">Reciprocation</t>
  </si>
  <si>
    <t xml:space="preserve">Shop Online 1</t>
  </si>
  <si>
    <t xml:space="preserve">Shop Online 2</t>
  </si>
  <si>
    <t xml:space="preserve">Project</t>
  </si>
  <si>
    <t xml:space="preserve">Service</t>
  </si>
  <si>
    <t xml:space="preserve">ตารางสรุปรายสัปดาห์</t>
  </si>
  <si>
    <t xml:space="preserve">สัปดาห์</t>
  </si>
  <si>
    <t xml:space="preserve">ช่วงวันที่</t>
  </si>
  <si>
    <t xml:space="preserve">ประเภท</t>
  </si>
  <si>
    <t xml:space="preserve">Total</t>
  </si>
  <si>
    <t xml:space="preserve">%MA/Rev</t>
  </si>
  <si>
    <t xml:space="preserve">29 มิ.ย.–5 ก.ค.</t>
  </si>
  <si>
    <t xml:space="preserve">Target</t>
  </si>
  <si>
    <t xml:space="preserve">Actual</t>
  </si>
  <si>
    <t xml:space="preserve">Gap</t>
  </si>
  <si>
    <t xml:space="preserve">6–12 ก.ค.</t>
  </si>
  <si>
    <t xml:space="preserve">13–19 ก.ค.</t>
  </si>
  <si>
    <t xml:space="preserve">20–26 ก.ค.</t>
  </si>
  <si>
    <t xml:space="preserve">เปรียบเทียบกับสัปดาห์อ้างอิง (สัปดาห์ 10–13 (มี.ค. 2569))</t>
  </si>
  <si>
    <t xml:space="preserve">รายการ</t>
  </si>
  <si>
    <t xml:space="preserve">ช่วงเวลา</t>
  </si>
  <si>
    <t xml:space="preserve">Actual สัปดาห์ 10–13 (มี.ค. 2569)</t>
  </si>
  <si>
    <t xml:space="preserve">2–29 มี.ค. 2569</t>
  </si>
  <si>
    <t xml:space="preserve">Target สัปดาห์ 27–30 (29 มิถุนายน – 26 กรกฎาคม 2569)</t>
  </si>
  <si>
    <t xml:space="preserve">29 มิ.ย.–26 ก.ค.</t>
  </si>
  <si>
    <t xml:space="preserve">การวิเคราะห์ผล</t>
  </si>
  <si>
    <t xml:space="preserve">🔍 สาเหตุ</t>
  </si>
  <si>
    <t xml:space="preserve">📌 ที่มาของสาเหตุ</t>
  </si>
  <si>
    <t xml:space="preserve">✅ แนวทางแก้ปัญหา</t>
  </si>
  <si>
    <t xml:space="preserve">1. JRTS สะสม -196,835.39 บาท เป็นต้นทุนแรงงานหลักที่ดึง Gross MA ติดลบ คิดเป็น 101.93% ของยอด MA ติดลบทั้งหมด (-193,113.35 บาท)
2. Association Product, Association Refer, Reciprocation ยังไม่มี Actual เข้าระบบเลยตลอด 12 วันแรกของรอบ (0 บาททั้ง 3 ช่องทาง เทียบ Target รวม 921.59+38.46+67.04 บาท)
3. Shop Online 1+2 สะสม 3,722.04 บาท ดีกว่า Target 131.37 บาท อย่างมีนัยสำคัญ (+3,590.67 บาท หรือ +2,733%)</t>
  </si>
  <si>
    <t xml:space="preserve">1. แผนก PCRC มีพนักงานจำนวนมาก ทำให้ต้นทุน JRTS สูงตามสัดส่วนแรงงาน ยากที่จะลดโดยตรงในระยะสั้น
2. ข้อมูล Association ยังไม่ถูกบันทึกเข้าระบบ หรือยังไม่มีการโทรติดตามลูกค้าในช่วง 12 วันแรกของรอบนี้
3. %MA/Revenue สะสม -3.26% ดีกว่า Target -8.15% เนื่องจาก JRTS Actual (-196,835.39) ต่ำกว่า Target (-242,738.65) มาก</t>
  </si>
  <si>
    <t xml:space="preserve">1. เร่งบันทึก Association Product/Refer/Reciprocation ที่ตกค้าง กระตุ้นทีมให้ครบ Target รวม 87.35 บาท/วัน
2. ตรวจสอบและบันทึกยอด Actual ของวันที่ 10 กรกฎาคม 2569 ที่ยังไม่เข้าระบบ (ปัจจุบันแสดง 0 บาท) เพื่อความถูกต้องของยอดสะสม
3. รักษาโมเมนตัม Shop Online ต่อเนื่อง ปัจจุบันสะสม 3,722.04 บาท ให้คงอัตราต่อวันไว้</t>
  </si>
  <si>
    <t xml:space="preserve">📅 DailyMA — รายวัน สัปดาห์ 27–30 (29 มิถุนายน – 26 กรกฎาคม 2569)</t>
  </si>
  <si>
    <t xml:space="preserve">JRTS สะสม (Actual)</t>
  </si>
  <si>
    <t xml:space="preserve">Shop Online สะสม (Actual)</t>
  </si>
  <si>
    <t xml:space="preserve">Total MA สะสม (Actual)</t>
  </si>
  <si>
    <t xml:space="preserve">%MA/Rev สะสม</t>
  </si>
  <si>
    <t xml:space="preserve">ตารางรายวัน Target / Actual / Gap</t>
  </si>
  <si>
    <t xml:space="preserve">วันที่</t>
  </si>
  <si>
    <t xml:space="preserve">29 มิ.ย. 2569</t>
  </si>
  <si>
    <t xml:space="preserve">30 มิ.ย. 2569</t>
  </si>
  <si>
    <t xml:space="preserve">1 ก.ค. 2569</t>
  </si>
  <si>
    <t xml:space="preserve">2 ก.ค. 2569</t>
  </si>
  <si>
    <t xml:space="preserve">3 ก.ค. 2569</t>
  </si>
  <si>
    <t xml:space="preserve">4 ก.ค. 2569 (วันหยุด)</t>
  </si>
  <si>
    <t xml:space="preserve">5 ก.ค. 2569 (วันหยุด)</t>
  </si>
  <si>
    <t xml:space="preserve">6 ก.ค. 2569</t>
  </si>
  <si>
    <t xml:space="preserve">7 ก.ค. 2569</t>
  </si>
  <si>
    <t xml:space="preserve">8 ก.ค. 2569</t>
  </si>
  <si>
    <t xml:space="preserve">9 ก.ค. 2569</t>
  </si>
  <si>
    <t xml:space="preserve">10 ก.ค. 2569</t>
  </si>
  <si>
    <t xml:space="preserve">11 ก.ค. 2569 (วันหยุด)</t>
  </si>
  <si>
    <t xml:space="preserve">12 ก.ค. 2569 (วันหยุด)</t>
  </si>
  <si>
    <t xml:space="preserve">13 ก.ค. 2569</t>
  </si>
  <si>
    <t xml:space="preserve">14 ก.ค. 2569</t>
  </si>
  <si>
    <t xml:space="preserve">15 ก.ค. 2569</t>
  </si>
  <si>
    <t xml:space="preserve">16 ก.ค. 2569</t>
  </si>
  <si>
    <t xml:space="preserve">17 ก.ค. 2569</t>
  </si>
  <si>
    <t xml:space="preserve">18 ก.ค. 2569 (วันหยุด)</t>
  </si>
  <si>
    <t xml:space="preserve">19 ก.ค. 2569 (วันหยุด)</t>
  </si>
  <si>
    <t xml:space="preserve">20 ก.ค. 2569</t>
  </si>
  <si>
    <t xml:space="preserve">21 ก.ค. 2569</t>
  </si>
  <si>
    <t xml:space="preserve">22 ก.ค. 2569</t>
  </si>
  <si>
    <t xml:space="preserve">23 ก.ค. 2569</t>
  </si>
  <si>
    <t xml:space="preserve">24 ก.ค. 2569</t>
  </si>
  <si>
    <t xml:space="preserve">25 ก.ค. 2569 (วันหยุด)</t>
  </si>
  <si>
    <t xml:space="preserve">26 ก.ค. 2569 (วันหยุด)</t>
  </si>
  <si>
    <t xml:space="preserve">กราฟ Target vs Actual % รายวัน</t>
  </si>
  <si>
    <t xml:space="preserve">Components รายวัน Actual (บาท)</t>
  </si>
  <si>
    <t xml:space="preserve">dayNum</t>
  </si>
  <si>
    <t xml:space="preserve">week</t>
  </si>
  <si>
    <t xml:space="preserve">date</t>
  </si>
  <si>
    <t xml:space="preserve">holiday</t>
  </si>
  <si>
    <t xml:space="preserve">Target JRTS</t>
  </si>
  <si>
    <t xml:space="preserve">Target Asso.Product</t>
  </si>
  <si>
    <t xml:space="preserve">Target Asso.Refer</t>
  </si>
  <si>
    <t xml:space="preserve">Target Reciprocation</t>
  </si>
  <si>
    <t xml:space="preserve">Target Shop Online 1</t>
  </si>
  <si>
    <t xml:space="preserve">Target Shop Online 2</t>
  </si>
  <si>
    <t xml:space="preserve">Target Project</t>
  </si>
  <si>
    <t xml:space="preserve">Target Service</t>
  </si>
  <si>
    <t xml:space="preserve">target_total</t>
  </si>
  <si>
    <t xml:space="preserve">Target %MA</t>
  </si>
  <si>
    <t xml:space="preserve">Actual JRTS</t>
  </si>
  <si>
    <t xml:space="preserve">Actual Asso.Product</t>
  </si>
  <si>
    <t xml:space="preserve">Actual Asso.Refer</t>
  </si>
  <si>
    <t xml:space="preserve">Actual Reciprocation</t>
  </si>
  <si>
    <t xml:space="preserve">Actual Shop Online 1</t>
  </si>
  <si>
    <t xml:space="preserve">Actual Shop Online 2</t>
  </si>
  <si>
    <t xml:space="preserve">Actual Project</t>
  </si>
  <si>
    <t xml:space="preserve">Actual Service</t>
  </si>
  <si>
    <t xml:space="preserve">actual_total</t>
  </si>
  <si>
    <t xml:space="preserve">Actual %MA</t>
  </si>
  <si>
    <t xml:space="preserve">daily_revenue</t>
  </si>
  <si>
    <t xml:space="preserve">4 ก.ค. 2569</t>
  </si>
  <si>
    <t xml:space="preserve">5 ก.ค. 2569</t>
  </si>
  <si>
    <t xml:space="preserve">11 ก.ค. 2569</t>
  </si>
  <si>
    <t xml:space="preserve">12 ก.ค. 2569</t>
  </si>
  <si>
    <t xml:space="preserve">18 ก.ค. 2569</t>
  </si>
  <si>
    <t xml:space="preserve">19 ก.ค. 2569</t>
  </si>
  <si>
    <t xml:space="preserve">25 ก.ค. 2569</t>
  </si>
  <si>
    <t xml:space="preserve">26 ก.ค. 2569</t>
  </si>
  <si>
    <t xml:space="preserve">Config</t>
  </si>
  <si>
    <t xml:space="preserve">TodayDay (วันที่ปัจจุบัน 1-28)</t>
  </si>
  <si>
    <t xml:space="preserve">RevenueMonth (บาท)</t>
  </si>
  <si>
    <t xml:space="preserve">Incentive Target ประจำวัน (บาท)</t>
  </si>
  <si>
    <t xml:space="preserve">Incentive Actual ประจำวัน (บาท)</t>
  </si>
  <si>
    <t xml:space="preserve">หมายเหตุ: เปลี่ยน TodayDay เพื่อเลื่อนวันที่ใช้คำนวณ Breakdown / KPI วันล่าสุด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</si>
</sst>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#,##0.00;\(#,##0.00\)"/>
    <numFmt numFmtId="167" formatCode="&quot;▲ +&quot;#,##0.00;&quot;▼ -&quot;#,##0.00"/>
    <numFmt numFmtId="168" formatCode="0.00%"/>
    <numFmt numFmtId="169" formatCode="#,##0"/>
    <numFmt numFmtId="170" formatCode="&quot;Target: &quot;#,##0"/>
    <numFmt numFmtId="171" formatCode="&quot;Target: &quot;0.00%"/>
    <numFmt numFmtId="172" formatCode="&quot;Target: &quot;#,##0.00;&quot;Target: (&quot;#,##0.00\)"/>
    <numFmt numFmtId="173" formatCode="General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40AF"/>
      <name val="Arial"/>
      <family val="0"/>
      <charset val="1"/>
    </font>
    <font>
      <sz val="10"/>
      <color rgb="FF1E3A8A"/>
      <name val="Arial"/>
      <family val="0"/>
      <charset val="1"/>
    </font>
    <font>
      <b val="true"/>
      <sz val="12"/>
      <color rgb="FF1E40A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9"/>
      <color rgb="FF1E40AF"/>
      <name val="Arial"/>
      <family val="0"/>
      <charset val="1"/>
    </font>
    <font>
      <b val="true"/>
      <sz val="18"/>
      <color rgb="FF1F2937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9"/>
      <color rgb="FF16A34A"/>
      <name val="Arial"/>
      <family val="0"/>
      <charset val="1"/>
    </font>
    <font>
      <b val="true"/>
      <sz val="11"/>
      <color rgb="FF374151"/>
      <name val="Arial"/>
      <family val="0"/>
      <charset val="1"/>
    </font>
    <font>
      <b val="true"/>
      <sz val="13"/>
      <color rgb="FF1F2937"/>
      <name val="Arial"/>
      <family val="0"/>
      <charset val="1"/>
    </font>
    <font>
      <sz val="8"/>
      <color rgb="FF6B728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color rgb="FF1F2937"/>
      <name val="Arial"/>
      <family val="0"/>
      <charset val="1"/>
    </font>
    <font>
      <sz val="9"/>
      <color rgb="FF1F2937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E40AF"/>
      <name val="Arial"/>
      <family val="0"/>
      <charset val="1"/>
    </font>
    <font>
      <sz val="9"/>
      <color rgb="FF374151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FreeSans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5"/>
      <color rgb="FF1F2937"/>
      <name val="Arial"/>
      <family val="0"/>
      <charset val="1"/>
    </font>
    <font>
      <sz val="8"/>
      <color rgb="FF1F2937"/>
      <name val="Arial"/>
      <family val="0"/>
      <charset val="1"/>
    </font>
    <font>
      <b val="true"/>
      <sz val="8"/>
      <color rgb="FF1F293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E40A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color rgb="FF6B728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BEAFE"/>
        <bgColor rgb="FFEDE9FE"/>
      </patternFill>
    </fill>
    <fill>
      <patternFill patternType="solid">
        <fgColor rgb="FFFFFFFF"/>
        <bgColor rgb="FFFEF9EC"/>
      </patternFill>
    </fill>
    <fill>
      <patternFill patternType="solid">
        <fgColor rgb="FFDCFCE7"/>
        <bgColor rgb="FFF1F5F9"/>
      </patternFill>
    </fill>
    <fill>
      <patternFill patternType="solid">
        <fgColor rgb="FF1E40AF"/>
        <bgColor rgb="FF1E3A8A"/>
      </patternFill>
    </fill>
    <fill>
      <patternFill patternType="solid">
        <fgColor rgb="FFF1F5F9"/>
        <bgColor rgb="FFFEF9EC"/>
      </patternFill>
    </fill>
    <fill>
      <patternFill patternType="solid">
        <fgColor rgb="FFEDE9FE"/>
        <bgColor rgb="FFF1F5F9"/>
      </patternFill>
    </fill>
    <fill>
      <patternFill patternType="solid">
        <fgColor rgb="FFFEF9E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BEAFE"/>
      </left>
      <right style="thin">
        <color rgb="FFDBEAFE"/>
      </right>
      <top style="thin">
        <color rgb="FFDBEAFE"/>
      </top>
      <bottom style="thin">
        <color rgb="FFDBEAF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9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6A34A"/>
      </font>
    </dxf>
    <dxf>
      <font>
        <name val="Arial"/>
        <charset val="1"/>
        <family val="0"/>
        <b val="1"/>
        <color rgb="FFDC2626"/>
      </font>
    </dxf>
    <dxf>
      <font>
        <name val="Arial"/>
        <charset val="1"/>
        <family val="0"/>
        <b val="1"/>
        <color rgb="FFDC2626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991B1B"/>
      </font>
      <fill>
        <patternFill>
          <bgColor rgb="FFFEE2E2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6B7280"/>
      <rgbColor rgb="FF800080"/>
      <rgbColor rgb="FF4F81BD"/>
      <rgbColor rgb="FFC0C0C0"/>
      <rgbColor rgb="FF878787"/>
      <rgbColor rgb="FF93A9CE"/>
      <rgbColor rgb="FFAB4744"/>
      <rgbColor rgb="FFFEF9EC"/>
      <rgbColor rgb="FFDCFCE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1F5F9"/>
      <rgbColor rgb="FFEDE9FE"/>
      <rgbColor rgb="FF99CCFF"/>
      <rgbColor rgb="FFD09493"/>
      <rgbColor rgb="FFCC99FF"/>
      <rgbColor rgb="FFFEE2E2"/>
      <rgbColor rgb="FF4A7EBB"/>
      <rgbColor rgb="FF4299B0"/>
      <rgbColor rgb="FF99CC00"/>
      <rgbColor rgb="FFFFCC00"/>
      <rgbColor rgb="FFFF9900"/>
      <rgbColor rgb="FFC0504D"/>
      <rgbColor rgb="FF725990"/>
      <rgbColor rgb="FF8AA64F"/>
      <rgbColor rgb="FF1E40AF"/>
      <rgbColor rgb="FF16A34A"/>
      <rgbColor rgb="FF003300"/>
      <rgbColor rgb="FF374151"/>
      <rgbColor rgb="FF991B1B"/>
      <rgbColor rgb="FFBE4B48"/>
      <rgbColor rgb="FF1E3A8A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Actual %MA 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RawData!N1</c:f>
              <c:strCache>
                <c:ptCount val="1"/>
                <c:pt idx="0">
                  <c:v>Target %MA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RawData!$N$2:$N$29</c:f>
              <c:numCache>
                <c:formatCode>0.00%</c:formatCode>
                <c:ptCount val="28"/>
                <c:pt idx="0">
                  <c:v>-0.114196</c:v>
                </c:pt>
                <c:pt idx="1">
                  <c:v>-0.114196</c:v>
                </c:pt>
                <c:pt idx="2">
                  <c:v>-0.114196</c:v>
                </c:pt>
                <c:pt idx="3">
                  <c:v>-0.114196</c:v>
                </c:pt>
                <c:pt idx="4">
                  <c:v>-0.114196</c:v>
                </c:pt>
                <c:pt idx="5">
                  <c:v>0.000414</c:v>
                </c:pt>
                <c:pt idx="6">
                  <c:v>0.000414</c:v>
                </c:pt>
                <c:pt idx="7">
                  <c:v>-0.114196</c:v>
                </c:pt>
                <c:pt idx="8">
                  <c:v>-0.114196</c:v>
                </c:pt>
                <c:pt idx="9">
                  <c:v>-0.114196</c:v>
                </c:pt>
                <c:pt idx="10">
                  <c:v>-0.114196</c:v>
                </c:pt>
                <c:pt idx="11">
                  <c:v>-0.114196</c:v>
                </c:pt>
                <c:pt idx="12">
                  <c:v>0.000414</c:v>
                </c:pt>
                <c:pt idx="13">
                  <c:v>0.000414</c:v>
                </c:pt>
                <c:pt idx="14">
                  <c:v>-0.114196</c:v>
                </c:pt>
                <c:pt idx="15">
                  <c:v>-0.114196</c:v>
                </c:pt>
                <c:pt idx="16">
                  <c:v>-0.114196</c:v>
                </c:pt>
                <c:pt idx="17">
                  <c:v>-0.114196</c:v>
                </c:pt>
                <c:pt idx="18">
                  <c:v>-0.114196</c:v>
                </c:pt>
                <c:pt idx="19">
                  <c:v>0.000414</c:v>
                </c:pt>
                <c:pt idx="20">
                  <c:v>0.000296</c:v>
                </c:pt>
                <c:pt idx="21">
                  <c:v>-0.114196</c:v>
                </c:pt>
                <c:pt idx="22">
                  <c:v>-0.114196</c:v>
                </c:pt>
                <c:pt idx="23">
                  <c:v>-0.114196</c:v>
                </c:pt>
                <c:pt idx="24">
                  <c:v>-0.114196</c:v>
                </c:pt>
                <c:pt idx="25">
                  <c:v>-0.114196</c:v>
                </c:pt>
                <c:pt idx="26">
                  <c:v>0.000414</c:v>
                </c:pt>
                <c:pt idx="27">
                  <c:v>0.000414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RawData!X1</c:f>
              <c:strCache>
                <c:ptCount val="1"/>
                <c:pt idx="0">
                  <c:v>Actual %MA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RawData!$X$2:$X$29</c:f>
              <c:numCache>
                <c:formatCode>0.00%</c:formatCode>
                <c:ptCount val="28"/>
                <c:pt idx="0">
                  <c:v>-0.096291</c:v>
                </c:pt>
                <c:pt idx="1">
                  <c:v>-0.112994</c:v>
                </c:pt>
                <c:pt idx="2">
                  <c:v>-0.094354</c:v>
                </c:pt>
                <c:pt idx="3">
                  <c:v>-0.123041</c:v>
                </c:pt>
                <c:pt idx="4">
                  <c:v>-0.1042</c:v>
                </c:pt>
                <c:pt idx="5">
                  <c:v>0</c:v>
                </c:pt>
                <c:pt idx="6">
                  <c:v>0</c:v>
                </c:pt>
                <c:pt idx="7">
                  <c:v>-0.088971</c:v>
                </c:pt>
                <c:pt idx="8">
                  <c:v>-0.092743</c:v>
                </c:pt>
                <c:pt idx="9">
                  <c:v>-0.097212</c:v>
                </c:pt>
                <c:pt idx="10">
                  <c:v>-0.102387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748249"/>
        <c:axId val="69995623"/>
      </c:lineChart>
      <c:catAx>
        <c:axId val="577482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995623"/>
        <c:crosses val="autoZero"/>
        <c:auto val="1"/>
        <c:lblAlgn val="ctr"/>
        <c:lblOffset val="100"/>
        <c:noMultiLvlLbl val="0"/>
      </c:catAx>
      <c:valAx>
        <c:axId val="699956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%MA/Revenue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7482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Components: Target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"Target (เต็มเดือน)"</c:f>
              <c:strCache>
                <c:ptCount val="1"/>
                <c:pt idx="0">
                  <c:v>Target (เต็มเดือน)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Dashboard!$C$66:$J$66</c:f>
              <c:multiLvlStrCache>
                <c:ptCount val="1"/>
                <c:lvl>
                  <c:pt idx="0">
                    <c:v>Service</c:v>
                  </c:pt>
                </c:lvl>
                <c:lvl>
                  <c:pt idx="0">
                    <c:v>Project</c:v>
                  </c:pt>
                </c:lvl>
                <c:lvl>
                  <c:pt idx="0">
                    <c:v>Shop Online 2</c:v>
                  </c:pt>
                </c:lvl>
                <c:lvl>
                  <c:pt idx="0">
                    <c:v>Shop Online 1</c:v>
                  </c:pt>
                </c:lvl>
                <c:lvl>
                  <c:pt idx="0">
                    <c:v>Reciprocation</c:v>
                  </c:pt>
                </c:lvl>
                <c:lvl>
                  <c:pt idx="0">
                    <c:v>Association Refer</c:v>
                  </c:pt>
                </c:lvl>
                <c:lvl>
                  <c:pt idx="0">
                    <c:v>Association Product</c:v>
                  </c:pt>
                </c:lvl>
                <c:lvl>
                  <c:pt idx="0">
                    <c:v>JRTS</c:v>
                  </c:pt>
                </c:lvl>
              </c:multiLvlStrCache>
            </c:multiLvlStrRef>
          </c:cat>
          <c:val>
            <c:numRef>
              <c:f>Dashboard!$C$68:$J$68</c:f>
              <c:numCache>
                <c:formatCode>#,##0.00;\(#,##0.00\)</c:formatCode>
                <c:ptCount val="8"/>
                <c:pt idx="0">
                  <c:v>-485477.298</c:v>
                </c:pt>
                <c:pt idx="1">
                  <c:v>2150.37704</c:v>
                </c:pt>
                <c:pt idx="2">
                  <c:v>76.92308</c:v>
                </c:pt>
                <c:pt idx="3">
                  <c:v>134.08234</c:v>
                </c:pt>
                <c:pt idx="4">
                  <c:v>132.960716</c:v>
                </c:pt>
                <c:pt idx="5">
                  <c:v>173.560352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strRef>
              <c:f>"Actual (สะสมถึงปัจจุบัน)"</c:f>
              <c:strCache>
                <c:ptCount val="1"/>
                <c:pt idx="0">
                  <c:v>Actual (สะสมถึงปัจจุบัน)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Dashboard!$C$66:$J$66</c:f>
              <c:multiLvlStrCache>
                <c:ptCount val="1"/>
                <c:lvl>
                  <c:pt idx="0">
                    <c:v>Service</c:v>
                  </c:pt>
                </c:lvl>
                <c:lvl>
                  <c:pt idx="0">
                    <c:v>Project</c:v>
                  </c:pt>
                </c:lvl>
                <c:lvl>
                  <c:pt idx="0">
                    <c:v>Shop Online 2</c:v>
                  </c:pt>
                </c:lvl>
                <c:lvl>
                  <c:pt idx="0">
                    <c:v>Shop Online 1</c:v>
                  </c:pt>
                </c:lvl>
                <c:lvl>
                  <c:pt idx="0">
                    <c:v>Reciprocation</c:v>
                  </c:pt>
                </c:lvl>
                <c:lvl>
                  <c:pt idx="0">
                    <c:v>Association Refer</c:v>
                  </c:pt>
                </c:lvl>
                <c:lvl>
                  <c:pt idx="0">
                    <c:v>Association Product</c:v>
                  </c:pt>
                </c:lvl>
                <c:lvl>
                  <c:pt idx="0">
                    <c:v>JRTS</c:v>
                  </c:pt>
                </c:lvl>
              </c:multiLvlStrCache>
            </c:multiLvlStrRef>
          </c:cat>
          <c:val>
            <c:numRef>
              <c:f>Dashboard!$C$69:$J$69</c:f>
              <c:numCache>
                <c:formatCode>#,##0.00;\(#,##0.00\)</c:formatCode>
                <c:ptCount val="8"/>
                <c:pt idx="0">
                  <c:v>-196835.39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510.46</c:v>
                </c:pt>
                <c:pt idx="5">
                  <c:v>3211.578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26698064"/>
        <c:axId val="85847798"/>
      </c:barChart>
      <c:catAx>
        <c:axId val="2669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847798"/>
        <c:crosses val="autoZero"/>
        <c:auto val="1"/>
        <c:lblAlgn val="ctr"/>
        <c:lblOffset val="100"/>
        <c:noMultiLvlLbl val="0"/>
      </c:catAx>
      <c:valAx>
        <c:axId val="858477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6980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Actual %MA 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RawData!N1</c:f>
              <c:strCache>
                <c:ptCount val="1"/>
                <c:pt idx="0">
                  <c:v>Target %MA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RawData!$N$2:$N$29</c:f>
              <c:numCache>
                <c:formatCode>0.00%</c:formatCode>
                <c:ptCount val="28"/>
                <c:pt idx="0">
                  <c:v>-0.114196</c:v>
                </c:pt>
                <c:pt idx="1">
                  <c:v>-0.114196</c:v>
                </c:pt>
                <c:pt idx="2">
                  <c:v>-0.114196</c:v>
                </c:pt>
                <c:pt idx="3">
                  <c:v>-0.114196</c:v>
                </c:pt>
                <c:pt idx="4">
                  <c:v>-0.114196</c:v>
                </c:pt>
                <c:pt idx="5">
                  <c:v>0.000414</c:v>
                </c:pt>
                <c:pt idx="6">
                  <c:v>0.000414</c:v>
                </c:pt>
                <c:pt idx="7">
                  <c:v>-0.114196</c:v>
                </c:pt>
                <c:pt idx="8">
                  <c:v>-0.114196</c:v>
                </c:pt>
                <c:pt idx="9">
                  <c:v>-0.114196</c:v>
                </c:pt>
                <c:pt idx="10">
                  <c:v>-0.114196</c:v>
                </c:pt>
                <c:pt idx="11">
                  <c:v>-0.114196</c:v>
                </c:pt>
                <c:pt idx="12">
                  <c:v>0.000414</c:v>
                </c:pt>
                <c:pt idx="13">
                  <c:v>0.000414</c:v>
                </c:pt>
                <c:pt idx="14">
                  <c:v>-0.114196</c:v>
                </c:pt>
                <c:pt idx="15">
                  <c:v>-0.114196</c:v>
                </c:pt>
                <c:pt idx="16">
                  <c:v>-0.114196</c:v>
                </c:pt>
                <c:pt idx="17">
                  <c:v>-0.114196</c:v>
                </c:pt>
                <c:pt idx="18">
                  <c:v>-0.114196</c:v>
                </c:pt>
                <c:pt idx="19">
                  <c:v>0.000414</c:v>
                </c:pt>
                <c:pt idx="20">
                  <c:v>0.000296</c:v>
                </c:pt>
                <c:pt idx="21">
                  <c:v>-0.114196</c:v>
                </c:pt>
                <c:pt idx="22">
                  <c:v>-0.114196</c:v>
                </c:pt>
                <c:pt idx="23">
                  <c:v>-0.114196</c:v>
                </c:pt>
                <c:pt idx="24">
                  <c:v>-0.114196</c:v>
                </c:pt>
                <c:pt idx="25">
                  <c:v>-0.114196</c:v>
                </c:pt>
                <c:pt idx="26">
                  <c:v>0.000414</c:v>
                </c:pt>
                <c:pt idx="27">
                  <c:v>0.000414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RawData!X1</c:f>
              <c:strCache>
                <c:ptCount val="1"/>
                <c:pt idx="0">
                  <c:v>Actual %MA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RawData!$X$2:$X$29</c:f>
              <c:numCache>
                <c:formatCode>0.00%</c:formatCode>
                <c:ptCount val="28"/>
                <c:pt idx="0">
                  <c:v>-0.096291</c:v>
                </c:pt>
                <c:pt idx="1">
                  <c:v>-0.112994</c:v>
                </c:pt>
                <c:pt idx="2">
                  <c:v>-0.094354</c:v>
                </c:pt>
                <c:pt idx="3">
                  <c:v>-0.123041</c:v>
                </c:pt>
                <c:pt idx="4">
                  <c:v>-0.1042</c:v>
                </c:pt>
                <c:pt idx="5">
                  <c:v>0</c:v>
                </c:pt>
                <c:pt idx="6">
                  <c:v>0</c:v>
                </c:pt>
                <c:pt idx="7">
                  <c:v>-0.088971</c:v>
                </c:pt>
                <c:pt idx="8">
                  <c:v>-0.092743</c:v>
                </c:pt>
                <c:pt idx="9">
                  <c:v>-0.097212</c:v>
                </c:pt>
                <c:pt idx="10">
                  <c:v>-0.102387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164661"/>
        <c:axId val="65532110"/>
      </c:lineChart>
      <c:catAx>
        <c:axId val="251646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532110"/>
        <c:crosses val="autoZero"/>
        <c:auto val="1"/>
        <c:lblAlgn val="ctr"/>
        <c:lblOffset val="100"/>
        <c:noMultiLvlLbl val="0"/>
      </c:catAx>
      <c:valAx>
        <c:axId val="655321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1646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Components รายวัน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RawData!O1</c:f>
              <c:strCache>
                <c:ptCount val="1"/>
                <c:pt idx="0">
                  <c:v>Actual JRTS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RawData!$O$2:$O$29</c:f>
              <c:numCache>
                <c:formatCode>General</c:formatCode>
                <c:ptCount val="28"/>
                <c:pt idx="0">
                  <c:v>-20851.79</c:v>
                </c:pt>
                <c:pt idx="1">
                  <c:v>-24862.39</c:v>
                </c:pt>
                <c:pt idx="2">
                  <c:v>-20035.23</c:v>
                </c:pt>
                <c:pt idx="3">
                  <c:v>-26264.32</c:v>
                </c:pt>
                <c:pt idx="4">
                  <c:v>-22096.89</c:v>
                </c:pt>
                <c:pt idx="5">
                  <c:v>0</c:v>
                </c:pt>
                <c:pt idx="6">
                  <c:v>0</c:v>
                </c:pt>
                <c:pt idx="7">
                  <c:v>-20115.58</c:v>
                </c:pt>
                <c:pt idx="8">
                  <c:v>-20144.4</c:v>
                </c:pt>
                <c:pt idx="9">
                  <c:v>-20742.5</c:v>
                </c:pt>
                <c:pt idx="10">
                  <c:v>-21722.29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RawData!P1</c:f>
              <c:strCache>
                <c:ptCount val="1"/>
                <c:pt idx="0">
                  <c:v>Actual Asso.Product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RawData!$P$2:$P$29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RawData!Q1</c:f>
              <c:strCache>
                <c:ptCount val="1"/>
                <c:pt idx="0">
                  <c:v>Actual Asso.Refer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RawData!$Q$2:$Q$29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3"/>
          <c:order val="3"/>
          <c:tx>
            <c:strRef>
              <c:f>RawData!R1</c:f>
              <c:strCache>
                <c:ptCount val="1"/>
                <c:pt idx="0">
                  <c:v>Actual Reciprocation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RawData!$R$2:$R$29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4"/>
          <c:order val="4"/>
          <c:tx>
            <c:strRef>
              <c:f>RawData!S1</c:f>
              <c:strCache>
                <c:ptCount val="1"/>
                <c:pt idx="0">
                  <c:v>Actual Shop Online 1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RawData!$S$2:$S$29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510.46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5"/>
          <c:order val="5"/>
          <c:tx>
            <c:strRef>
              <c:f>RawData!T1</c:f>
              <c:strCache>
                <c:ptCount val="1"/>
                <c:pt idx="0">
                  <c:v>Actual Shop Online 2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RawData!$T$2:$T$29</c:f>
              <c:numCache>
                <c:formatCode>General</c:formatCode>
                <c:ptCount val="28"/>
                <c:pt idx="0">
                  <c:v>466.75</c:v>
                </c:pt>
                <c:pt idx="1">
                  <c:v>941.23</c:v>
                </c:pt>
                <c:pt idx="2">
                  <c:v>60.37</c:v>
                </c:pt>
                <c:pt idx="3">
                  <c:v>216.3</c:v>
                </c:pt>
                <c:pt idx="4">
                  <c:v>37.558</c:v>
                </c:pt>
                <c:pt idx="5">
                  <c:v>0</c:v>
                </c:pt>
                <c:pt idx="6">
                  <c:v>0</c:v>
                </c:pt>
                <c:pt idx="7">
                  <c:v>1280.26</c:v>
                </c:pt>
                <c:pt idx="8">
                  <c:v>0</c:v>
                </c:pt>
                <c:pt idx="9">
                  <c:v>162.43</c:v>
                </c:pt>
                <c:pt idx="10">
                  <c:v>46.68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6"/>
          <c:order val="6"/>
          <c:tx>
            <c:strRef>
              <c:f>RawData!U1</c:f>
              <c:strCache>
                <c:ptCount val="1"/>
                <c:pt idx="0">
                  <c:v>Actual Project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RawData!$U$2:$U$29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7"/>
          <c:order val="7"/>
          <c:tx>
            <c:strRef>
              <c:f>RawData!V1</c:f>
              <c:strCache>
                <c:ptCount val="1"/>
                <c:pt idx="0">
                  <c:v>Actual Service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RawData!$C$2:$C$29</c:f>
              <c:strCache>
                <c:ptCount val="28"/>
                <c:pt idx="0">
                  <c:v>29 มิ.ย. 2569</c:v>
                </c:pt>
                <c:pt idx="1">
                  <c:v>30 มิ.ย. 2569</c:v>
                </c:pt>
                <c:pt idx="2">
                  <c:v>1 ก.ค. 2569</c:v>
                </c:pt>
                <c:pt idx="3">
                  <c:v>2 ก.ค. 2569</c:v>
                </c:pt>
                <c:pt idx="4">
                  <c:v>3 ก.ค. 2569</c:v>
                </c:pt>
                <c:pt idx="5">
                  <c:v>4 ก.ค. 2569</c:v>
                </c:pt>
                <c:pt idx="6">
                  <c:v>5 ก.ค. 2569</c:v>
                </c:pt>
                <c:pt idx="7">
                  <c:v>6 ก.ค. 2569</c:v>
                </c:pt>
                <c:pt idx="8">
                  <c:v>7 ก.ค. 2569</c:v>
                </c:pt>
                <c:pt idx="9">
                  <c:v>8 ก.ค. 2569</c:v>
                </c:pt>
                <c:pt idx="10">
                  <c:v>9 ก.ค. 2569</c:v>
                </c:pt>
                <c:pt idx="11">
                  <c:v>10 ก.ค. 2569</c:v>
                </c:pt>
                <c:pt idx="12">
                  <c:v>11 ก.ค. 2569</c:v>
                </c:pt>
                <c:pt idx="13">
                  <c:v>12 ก.ค. 2569</c:v>
                </c:pt>
                <c:pt idx="14">
                  <c:v>13 ก.ค. 2569</c:v>
                </c:pt>
                <c:pt idx="15">
                  <c:v>14 ก.ค. 2569</c:v>
                </c:pt>
                <c:pt idx="16">
                  <c:v>15 ก.ค. 2569</c:v>
                </c:pt>
                <c:pt idx="17">
                  <c:v>16 ก.ค. 2569</c:v>
                </c:pt>
                <c:pt idx="18">
                  <c:v>17 ก.ค. 2569</c:v>
                </c:pt>
                <c:pt idx="19">
                  <c:v>18 ก.ค. 2569</c:v>
                </c:pt>
                <c:pt idx="20">
                  <c:v>19 ก.ค. 2569</c:v>
                </c:pt>
                <c:pt idx="21">
                  <c:v>20 ก.ค. 2569</c:v>
                </c:pt>
                <c:pt idx="22">
                  <c:v>21 ก.ค. 2569</c:v>
                </c:pt>
                <c:pt idx="23">
                  <c:v>22 ก.ค. 2569</c:v>
                </c:pt>
                <c:pt idx="24">
                  <c:v>23 ก.ค. 2569</c:v>
                </c:pt>
                <c:pt idx="25">
                  <c:v>24 ก.ค. 2569</c:v>
                </c:pt>
                <c:pt idx="26">
                  <c:v>25 ก.ค. 2569</c:v>
                </c:pt>
                <c:pt idx="27">
                  <c:v>26 ก.ค. 2569</c:v>
                </c:pt>
              </c:strCache>
            </c:strRef>
          </c:cat>
          <c:val>
            <c:numRef>
              <c:f>RawData!$V$2:$V$29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gapWidth val="150"/>
        <c:overlap val="100"/>
        <c:axId val="20328871"/>
        <c:axId val="79160922"/>
      </c:barChart>
      <c:catAx>
        <c:axId val="20328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60922"/>
        <c:crosses val="autoZero"/>
        <c:auto val="1"/>
        <c:lblAlgn val="ctr"/>
        <c:lblOffset val="100"/>
        <c:noMultiLvlLbl val="0"/>
      </c:catAx>
      <c:valAx>
        <c:axId val="791609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3288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0</xdr:rowOff>
    </xdr:from>
    <xdr:to>
      <xdr:col>3</xdr:col>
      <xdr:colOff>67680</xdr:colOff>
      <xdr:row>33</xdr:row>
      <xdr:rowOff>21960</xdr:rowOff>
    </xdr:to>
    <xdr:graphicFrame>
      <xdr:nvGraphicFramePr>
        <xdr:cNvPr id="0" name="Chart 1"/>
        <xdr:cNvGraphicFramePr/>
      </xdr:nvGraphicFramePr>
      <xdr:xfrm>
        <a:off x="0" y="388620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18</xdr:row>
      <xdr:rowOff>0</xdr:rowOff>
    </xdr:from>
    <xdr:to>
      <xdr:col>13</xdr:col>
      <xdr:colOff>512280</xdr:colOff>
      <xdr:row>33</xdr:row>
      <xdr:rowOff>21960</xdr:rowOff>
    </xdr:to>
    <xdr:graphicFrame>
      <xdr:nvGraphicFramePr>
        <xdr:cNvPr id="1" name="Chart 2"/>
        <xdr:cNvGraphicFramePr/>
      </xdr:nvGraphicFramePr>
      <xdr:xfrm>
        <a:off x="11290320" y="388620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94</xdr:row>
      <xdr:rowOff>89280</xdr:rowOff>
    </xdr:from>
    <xdr:to>
      <xdr:col>9</xdr:col>
      <xdr:colOff>460800</xdr:colOff>
      <xdr:row>111</xdr:row>
      <xdr:rowOff>90720</xdr:rowOff>
    </xdr:to>
    <xdr:graphicFrame>
      <xdr:nvGraphicFramePr>
        <xdr:cNvPr id="2" name="Chart 1"/>
        <xdr:cNvGraphicFramePr/>
      </xdr:nvGraphicFramePr>
      <xdr:xfrm>
        <a:off x="0" y="1823076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114</xdr:row>
      <xdr:rowOff>89640</xdr:rowOff>
    </xdr:from>
    <xdr:to>
      <xdr:col>9</xdr:col>
      <xdr:colOff>460800</xdr:colOff>
      <xdr:row>131</xdr:row>
      <xdr:rowOff>90720</xdr:rowOff>
    </xdr:to>
    <xdr:graphicFrame>
      <xdr:nvGraphicFramePr>
        <xdr:cNvPr id="3" name="Chart 2"/>
        <xdr:cNvGraphicFramePr/>
      </xdr:nvGraphicFramePr>
      <xdr:xfrm>
        <a:off x="0" y="2204100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0" style="0" width="10"/>
    <col collapsed="false" customWidth="true" hidden="false" outlineLevel="0" max="12" min="12" style="0" width="13"/>
    <col collapsed="false" customWidth="true" hidden="false" outlineLevel="0" max="16" min="13" style="0" width="11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8" hidden="false" customHeight="true" outlineLevel="0" collapsed="false">
      <c r="A2" s="2" t="str">
        <f aca="false">"หน่วยงาน: PCRC    |    สัปดาห์ที่: 27–30    |    ช่วงเวลา: 29 มิถุนายน – 26 กรกฎาคม 2569"</f>
        <v>หน่วยงาน: PCRC    |    สัปดาห์ที่: 27–30    |    ช่วงเวลา: 29 มิถุนายน – 26 กรกฎาคม 2569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8" hidden="false" customHeight="true" outlineLevel="0" collapsed="false">
      <c r="A3" s="2" t="str">
        <f aca="false">"ข้อมูล ณ วันที่: "&amp;INDEX(RawData!C2:C29,MATCH(TodayDay-1,RawData!A2:A29,0))&amp;"    |    Revenue สายธุรกิจ: ฿"&amp;TEXT(RevenueMonth,"#,##0.00")&amp;"    |    เปรียบเทียบกับ: สัปดาห์ 10–13 (มี.ค. 2569)"</f>
        <v>ข้อมูล ณ วันที่: 10 ก.ค. 2569    |    Revenue สายธุรกิจ: ฿5,927,657.11    |    เปรียบเทียบกับ: สัปดาห์ 10–13 (มี.ค. 2569)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15" hidden="false" customHeight="true" outlineLevel="0" collapsed="false">
      <c r="A5" s="3" t="s">
        <v>1</v>
      </c>
      <c r="B5" s="3"/>
      <c r="C5" s="3"/>
      <c r="D5" s="3"/>
      <c r="E5" s="3"/>
      <c r="F5" s="3"/>
      <c r="G5" s="3"/>
      <c r="H5" s="3"/>
      <c r="I5" s="3" t="str">
        <f aca="false">"📅 ล่าสุด วันที่ "&amp;INDEX(RawData!C2:C29,MATCH(TodayDay-1,RawData!A2:A29,0))&amp;" (สัปดาห์ "&amp;INDEX(RawData!B2:B29,MATCH(TodayDay-1,RawData!A2:A29,0))&amp;")"</f>
        <v>📅 ล่าสุด วันที่ 10 ก.ค. 2569 (สัปดาห์ 28)</v>
      </c>
      <c r="J5" s="3"/>
      <c r="K5" s="3"/>
      <c r="L5" s="3"/>
      <c r="M5" s="3"/>
      <c r="N5" s="3"/>
      <c r="O5" s="3"/>
      <c r="P5" s="3"/>
    </row>
    <row r="6" customFormat="false" ht="15.75" hidden="false" customHeight="true" outlineLevel="0" collapsed="false">
      <c r="A6" s="4" t="s">
        <v>2</v>
      </c>
      <c r="B6" s="4"/>
      <c r="C6" s="4"/>
      <c r="D6" s="4"/>
      <c r="E6" s="4"/>
      <c r="F6" s="5" t="n">
        <f aca="false">RevenueMonth</f>
        <v>5927657.111</v>
      </c>
      <c r="G6" s="5"/>
      <c r="H6" s="5"/>
      <c r="I6" s="4" t="s">
        <v>2</v>
      </c>
      <c r="J6" s="4"/>
      <c r="K6" s="4"/>
      <c r="L6" s="4"/>
      <c r="M6" s="4"/>
      <c r="N6" s="5" t="n">
        <f aca="false">INDEX(RawData!Y2:Y29,MATCH(TodayDay-1,RawData!A2:A29,0))</f>
        <v>211702.0397</v>
      </c>
      <c r="O6" s="5"/>
      <c r="P6" s="5"/>
    </row>
    <row r="7" customFormat="false" ht="15.75" hidden="false" customHeight="true" outlineLevel="0" collapsed="false">
      <c r="A7" s="4" t="s">
        <v>3</v>
      </c>
      <c r="B7" s="4"/>
      <c r="C7" s="4"/>
      <c r="D7" s="4"/>
      <c r="E7" s="4"/>
      <c r="F7" s="6" t="n">
        <f aca="false">SUM(RawData!W2:W29)</f>
        <v>-193113.352</v>
      </c>
      <c r="G7" s="6"/>
      <c r="H7" s="6"/>
      <c r="I7" s="4" t="s">
        <v>3</v>
      </c>
      <c r="J7" s="4"/>
      <c r="K7" s="4"/>
      <c r="L7" s="4"/>
      <c r="M7" s="4"/>
      <c r="N7" s="6" t="n">
        <f aca="false">INDEX(RawData!W2:W29,MATCH(TodayDay-1,RawData!A2:A29,0))</f>
        <v>0</v>
      </c>
      <c r="O7" s="6"/>
      <c r="P7" s="6"/>
    </row>
    <row r="8" customFormat="false" ht="15.75" hidden="false" customHeight="true" outlineLevel="0" collapsed="false">
      <c r="A8" s="4" t="s">
        <v>4</v>
      </c>
      <c r="B8" s="4"/>
      <c r="C8" s="4"/>
      <c r="D8" s="4"/>
      <c r="E8" s="4"/>
      <c r="F8" s="6" t="n">
        <f aca="false">SUM(RawData!M2:M29)</f>
        <v>-482809.394472</v>
      </c>
      <c r="G8" s="6"/>
      <c r="H8" s="6"/>
      <c r="I8" s="4" t="s">
        <v>4</v>
      </c>
      <c r="J8" s="4"/>
      <c r="K8" s="4"/>
      <c r="L8" s="4"/>
      <c r="M8" s="4"/>
      <c r="N8" s="6" t="n">
        <f aca="false">INDEX(RawData!M2:M29,MATCH(TodayDay-1,RawData!A2:A29,0))</f>
        <v>-24175.568268</v>
      </c>
      <c r="O8" s="6"/>
      <c r="P8" s="6"/>
    </row>
    <row r="9" customFormat="false" ht="15.75" hidden="false" customHeight="true" outlineLevel="0" collapsed="false">
      <c r="A9" s="4" t="s">
        <v>5</v>
      </c>
      <c r="B9" s="4"/>
      <c r="C9" s="4"/>
      <c r="D9" s="4"/>
      <c r="E9" s="4"/>
      <c r="F9" s="7" t="n">
        <f aca="false">F7-F8</f>
        <v>289696.042472</v>
      </c>
      <c r="G9" s="7"/>
      <c r="H9" s="7"/>
      <c r="I9" s="4" t="s">
        <v>5</v>
      </c>
      <c r="J9" s="4"/>
      <c r="K9" s="4"/>
      <c r="L9" s="4"/>
      <c r="M9" s="4"/>
      <c r="N9" s="7" t="n">
        <f aca="false">N7-N8</f>
        <v>24175.568268</v>
      </c>
      <c r="O9" s="7"/>
      <c r="P9" s="7"/>
    </row>
    <row r="10" customFormat="false" ht="15.75" hidden="false" customHeight="true" outlineLevel="0" collapsed="false">
      <c r="A10" s="4" t="s">
        <v>6</v>
      </c>
      <c r="B10" s="4"/>
      <c r="C10" s="4"/>
      <c r="D10" s="4"/>
      <c r="E10" s="4"/>
      <c r="F10" s="8" t="n">
        <f aca="false">F7/F6</f>
        <v>-0.0325783607897356</v>
      </c>
      <c r="G10" s="8"/>
      <c r="H10" s="8"/>
      <c r="I10" s="4" t="s">
        <v>6</v>
      </c>
      <c r="J10" s="4"/>
      <c r="K10" s="4"/>
      <c r="L10" s="4"/>
      <c r="M10" s="4"/>
      <c r="N10" s="8" t="n">
        <f aca="false">N7/N6</f>
        <v>0</v>
      </c>
      <c r="O10" s="8"/>
      <c r="P10" s="8"/>
    </row>
    <row r="11" customFormat="false" ht="15.75" hidden="false" customHeight="true" outlineLevel="0" collapsed="false">
      <c r="A11" s="4" t="s">
        <v>7</v>
      </c>
      <c r="B11" s="4"/>
      <c r="C11" s="4"/>
      <c r="D11" s="4"/>
      <c r="E11" s="4"/>
      <c r="F11" s="8" t="n">
        <f aca="false">F8/F6</f>
        <v>-0.081450290634397</v>
      </c>
      <c r="G11" s="8"/>
      <c r="H11" s="8"/>
      <c r="I11" s="4" t="s">
        <v>7</v>
      </c>
      <c r="J11" s="4"/>
      <c r="K11" s="4"/>
      <c r="L11" s="4"/>
      <c r="M11" s="4"/>
      <c r="N11" s="8" t="n">
        <f aca="false">N8/N6</f>
        <v>-0.114196199064775</v>
      </c>
      <c r="O11" s="8"/>
      <c r="P11" s="8"/>
    </row>
    <row r="13" customFormat="false" ht="15.75" hidden="false" customHeight="true" outlineLevel="0" collapsed="false">
      <c r="A13" s="9" t="s">
        <v>8</v>
      </c>
      <c r="B13" s="9"/>
      <c r="C13" s="9"/>
      <c r="D13" s="9" t="s">
        <v>9</v>
      </c>
      <c r="E13" s="9"/>
      <c r="F13" s="9"/>
      <c r="G13" s="9" t="s">
        <v>10</v>
      </c>
      <c r="H13" s="9"/>
      <c r="I13" s="9"/>
      <c r="J13" s="9" t="s">
        <v>11</v>
      </c>
      <c r="K13" s="9"/>
      <c r="L13" s="9"/>
      <c r="M13" s="9" t="s">
        <v>12</v>
      </c>
      <c r="N13" s="9"/>
      <c r="O13" s="9"/>
      <c r="P13" s="9"/>
    </row>
    <row r="14" customFormat="false" ht="25.5" hidden="false" customHeight="true" outlineLevel="0" collapsed="false">
      <c r="A14" s="10" t="n">
        <f aca="false">IncentiveActual</f>
        <v>46.68</v>
      </c>
      <c r="B14" s="10"/>
      <c r="C14" s="10"/>
      <c r="D14" s="10" t="n">
        <f aca="false">SUM(RawData!W2:W29)</f>
        <v>-193113.352</v>
      </c>
      <c r="E14" s="10"/>
      <c r="F14" s="10"/>
      <c r="G14" s="10" t="n">
        <f aca="false">INDEX(RawData!W2:W29,MATCH(TodayDay-1,RawData!A2:A29,0))</f>
        <v>0</v>
      </c>
      <c r="H14" s="10"/>
      <c r="I14" s="10"/>
      <c r="J14" s="11" t="n">
        <f aca="false">INDEX(RawData!W2:W29,MATCH(TodayDay-1,RawData!A2:A29,0))/INDEX(RawData!Y2:Y29,MATCH(TodayDay-1,RawData!A2:A29,0))</f>
        <v>0</v>
      </c>
      <c r="K14" s="11"/>
      <c r="L14" s="11"/>
      <c r="M14" s="11" t="n">
        <f aca="false">SUM(RawData!W2:W29)/RevenueMonth</f>
        <v>-0.0325783607897356</v>
      </c>
      <c r="N14" s="11"/>
      <c r="O14" s="11"/>
      <c r="P14" s="11"/>
    </row>
    <row r="15" customFormat="false" ht="15.75" hidden="false" customHeight="true" outlineLevel="0" collapsed="false">
      <c r="A15" s="12" t="n">
        <f aca="false">IncentiveTarget</f>
        <v>26.36813187</v>
      </c>
      <c r="B15" s="12"/>
      <c r="C15" s="12"/>
      <c r="D15" s="12" t="n">
        <f aca="false">SUM(RawData!M2:M29)</f>
        <v>-482809.394472</v>
      </c>
      <c r="E15" s="12"/>
      <c r="F15" s="12"/>
      <c r="G15" s="12" t="n">
        <f aca="false">INDEX(RawData!M2:M29,MATCH(TodayDay-1,RawData!A2:A29,0))</f>
        <v>-24175.568268</v>
      </c>
      <c r="H15" s="12"/>
      <c r="I15" s="12"/>
      <c r="J15" s="13" t="n">
        <f aca="false">INDEX(RawData!M2:M29,MATCH(TodayDay-1,RawData!A2:A29,0))/INDEX(RawData!Y2:Y29,MATCH(TodayDay-1,RawData!A2:A29,0))</f>
        <v>-0.114196199064775</v>
      </c>
      <c r="K15" s="13"/>
      <c r="L15" s="13"/>
      <c r="M15" s="13" t="n">
        <f aca="false">SUM(RawData!M2:M29)/RevenueMonth</f>
        <v>-0.081450290634397</v>
      </c>
      <c r="N15" s="13"/>
      <c r="O15" s="13"/>
      <c r="P15" s="13"/>
    </row>
    <row r="16" customFormat="false" ht="15.75" hidden="false" customHeight="true" outlineLevel="0" collapsed="false">
      <c r="A16" s="14" t="str">
        <f aca="false">IF((A14-A15)&gt;=0,"▲ + ดีกว่า Target "&amp;TEXT(ABS(A14-A15),"#,##0"),"▼ - แย่กว่า Target "&amp;TEXT(ABS(A14-A15),"#,##0"))</f>
        <v>▲ + ดีกว่า Target 20</v>
      </c>
      <c r="B16" s="14"/>
      <c r="C16" s="14"/>
      <c r="D16" s="14" t="str">
        <f aca="false">IF((D14-D15)&gt;=0,"▲ + ดีกว่า Target "&amp;TEXT(ABS(D14-D15),"#,##0"),"▼ - แย่กว่า Target "&amp;TEXT(ABS(D14-D15),"#,##0"))</f>
        <v>▲ + ดีกว่า Target 289,696</v>
      </c>
      <c r="E16" s="14"/>
      <c r="F16" s="14"/>
      <c r="G16" s="14" t="str">
        <f aca="false">IF((G14-G15)&gt;=0,"▲ + ดีกว่า Target "&amp;TEXT(ABS(G14-G15),"#,##0"),"▼ - แย่กว่า Target "&amp;TEXT(ABS(G14-G15),"#,##0"))</f>
        <v>▲ + ดีกว่า Target 24,176</v>
      </c>
      <c r="H16" s="14"/>
      <c r="I16" s="14"/>
      <c r="J16" s="14" t="str">
        <f aca="false">IF((J14-J15)&gt;=0,"▲ + ดีกว่า Target "&amp;TEXT(ABS(J14-J15),"0.00%"),"▼ - แย่กว่า Target "&amp;TEXT(ABS(J14-J15),"0.00%"))</f>
        <v>▲ + ดีกว่า Target 11.42%</v>
      </c>
      <c r="K16" s="14"/>
      <c r="L16" s="14"/>
      <c r="M16" s="14" t="str">
        <f aca="false">IF((M14-M15)&gt;=0,"▲ + ดีกว่า Target "&amp;TEXT(ABS(M14-M15),"0.00%"),"▼ - แย่กว่า Target "&amp;TEXT(ABS(M14-M15),"0.00%"))</f>
        <v>▲ + ดีกว่า Target 4.89%</v>
      </c>
      <c r="N16" s="14"/>
      <c r="O16" s="14"/>
      <c r="P16" s="14"/>
    </row>
    <row r="18" customFormat="false" ht="15" hidden="false" customHeight="true" outlineLevel="0" collapsed="false">
      <c r="A18" s="15" t="s">
        <v>13</v>
      </c>
      <c r="B18" s="15"/>
      <c r="C18" s="15"/>
      <c r="D18" s="15"/>
      <c r="E18" s="15"/>
      <c r="F18" s="15"/>
      <c r="G18" s="15"/>
      <c r="H18" s="15"/>
      <c r="I18" s="15" t="s">
        <v>14</v>
      </c>
      <c r="J18" s="15"/>
      <c r="K18" s="15"/>
      <c r="L18" s="15"/>
      <c r="M18" s="15"/>
      <c r="N18" s="15"/>
      <c r="O18" s="15"/>
      <c r="P18" s="15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8" customFormat="false" ht="15" hidden="false" customHeight="false" outlineLevel="0" collapsed="false">
      <c r="A38" s="16" t="str">
        <f aca="false">"Breakdown รายสายธุรกิจ (สะสม "&amp;RawData!C2&amp;"–"&amp;INDEX(RawData!C2:C29,MATCH(TodayDay-1,RawData!A2:A29,0))&amp;")"</f>
        <v>Breakdown รายสายธุรกิจ (สะสม 29 มิ.ย. 2569–10 ก.ค. 2569)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</row>
    <row r="39" customFormat="false" ht="15.75" hidden="false" customHeight="true" outlineLevel="0" collapsed="false">
      <c r="A39" s="9" t="s">
        <v>15</v>
      </c>
      <c r="B39" s="9"/>
      <c r="C39" s="9"/>
      <c r="D39" s="9"/>
      <c r="E39" s="9" t="s">
        <v>16</v>
      </c>
      <c r="F39" s="9"/>
      <c r="G39" s="9"/>
      <c r="H39" s="9"/>
      <c r="I39" s="9" t="s">
        <v>17</v>
      </c>
      <c r="J39" s="9"/>
      <c r="K39" s="9"/>
      <c r="L39" s="9"/>
      <c r="M39" s="9" t="s">
        <v>18</v>
      </c>
      <c r="N39" s="9"/>
      <c r="O39" s="9"/>
      <c r="P39" s="9"/>
    </row>
    <row r="40" customFormat="false" ht="21.75" hidden="false" customHeight="true" outlineLevel="0" collapsed="false">
      <c r="A40" s="17" t="n">
        <f aca="false">SUMIFS(RawData!O2:O29,RawData!A2:A29,"&lt;"&amp;TodayDay)</f>
        <v>-196835.39</v>
      </c>
      <c r="B40" s="17"/>
      <c r="C40" s="17"/>
      <c r="D40" s="17"/>
      <c r="E40" s="17" t="n">
        <f aca="false">SUMIFS(RawData!P2:P29,RawData!A2:A29,"&lt;"&amp;TodayDay)</f>
        <v>0</v>
      </c>
      <c r="F40" s="17"/>
      <c r="G40" s="17"/>
      <c r="H40" s="17"/>
      <c r="I40" s="17" t="n">
        <f aca="false">SUMIFS(RawData!Q2:Q29,RawData!A2:A29,"&lt;"&amp;TodayDay)</f>
        <v>0</v>
      </c>
      <c r="J40" s="17"/>
      <c r="K40" s="17"/>
      <c r="L40" s="17"/>
      <c r="M40" s="17" t="n">
        <f aca="false">SUMIFS(RawData!R2:R29,RawData!A2:A29,"&lt;"&amp;TodayDay)</f>
        <v>0</v>
      </c>
      <c r="N40" s="17"/>
      <c r="O40" s="17"/>
      <c r="P40" s="17"/>
    </row>
    <row r="41" customFormat="false" ht="13.5" hidden="false" customHeight="true" outlineLevel="0" collapsed="false">
      <c r="A41" s="18" t="n">
        <f aca="false">SUMIFS(RawData!E2:E29,RawData!A2:A29,"&lt;"&amp;TodayDay)</f>
        <v>-242738.649</v>
      </c>
      <c r="B41" s="18"/>
      <c r="C41" s="18"/>
      <c r="D41" s="18"/>
      <c r="E41" s="18" t="n">
        <f aca="false">SUMIFS(RawData!F2:F29,RawData!A2:A29,"&lt;"&amp;TodayDay)</f>
        <v>921.59016</v>
      </c>
      <c r="F41" s="18"/>
      <c r="G41" s="18"/>
      <c r="H41" s="18"/>
      <c r="I41" s="18" t="n">
        <f aca="false">SUMIFS(RawData!G2:G29,RawData!A2:A29,"&lt;"&amp;TodayDay)</f>
        <v>38.46154</v>
      </c>
      <c r="J41" s="18"/>
      <c r="K41" s="18"/>
      <c r="L41" s="18"/>
      <c r="M41" s="18" t="n">
        <f aca="false">SUMIFS(RawData!H2:H29,RawData!A2:A29,"&lt;"&amp;TodayDay)</f>
        <v>67.04117</v>
      </c>
      <c r="N41" s="18"/>
      <c r="O41" s="18"/>
      <c r="P41" s="18"/>
    </row>
    <row r="42" customFormat="false" ht="15.75" hidden="false" customHeight="true" outlineLevel="0" collapsed="false">
      <c r="A42" s="14" t="str">
        <f aca="false">IF((A40-A41)&gt;=0,"▲ +"&amp;TEXT(ABS(A40-A41),"#,##0.00"),"▼ "&amp;TEXT(ABS(A40-A41),"#,##0.00"))</f>
        <v>▲ +45,903.26</v>
      </c>
      <c r="B42" s="14"/>
      <c r="C42" s="14"/>
      <c r="D42" s="14"/>
      <c r="E42" s="14" t="str">
        <f aca="false">IF((E40-E41)&gt;=0,"▲ +"&amp;TEXT(ABS(E40-E41),"#,##0.00"),"▼ "&amp;TEXT(ABS(E40-E41),"#,##0.00"))</f>
        <v>▼ 921.59</v>
      </c>
      <c r="F42" s="14"/>
      <c r="G42" s="14"/>
      <c r="H42" s="14"/>
      <c r="I42" s="14" t="str">
        <f aca="false">IF((I40-I41)&gt;=0,"▲ +"&amp;TEXT(ABS(I40-I41),"#,##0.00"),"▼ "&amp;TEXT(ABS(I40-I41),"#,##0.00"))</f>
        <v>▼ 38.46</v>
      </c>
      <c r="J42" s="14"/>
      <c r="K42" s="14"/>
      <c r="L42" s="14"/>
      <c r="M42" s="14" t="str">
        <f aca="false">IF((M40-M41)&gt;=0,"▲ +"&amp;TEXT(ABS(M40-M41),"#,##0.00"),"▼ "&amp;TEXT(ABS(M40-M41),"#,##0.00"))</f>
        <v>▼ 67.04</v>
      </c>
      <c r="N42" s="14"/>
      <c r="O42" s="14"/>
      <c r="P42" s="14"/>
    </row>
    <row r="43" customFormat="false" ht="15.75" hidden="false" customHeight="true" outlineLevel="0" collapsed="false">
      <c r="A43" s="9" t="s">
        <v>19</v>
      </c>
      <c r="B43" s="9"/>
      <c r="C43" s="9"/>
      <c r="D43" s="9"/>
      <c r="E43" s="9" t="s">
        <v>20</v>
      </c>
      <c r="F43" s="9"/>
      <c r="G43" s="9"/>
      <c r="H43" s="9"/>
      <c r="I43" s="9" t="s">
        <v>21</v>
      </c>
      <c r="J43" s="9"/>
      <c r="K43" s="9"/>
      <c r="L43" s="9"/>
      <c r="M43" s="9" t="s">
        <v>22</v>
      </c>
      <c r="N43" s="9"/>
      <c r="O43" s="9"/>
      <c r="P43" s="9"/>
    </row>
    <row r="44" customFormat="false" ht="21.75" hidden="false" customHeight="true" outlineLevel="0" collapsed="false">
      <c r="A44" s="17" t="n">
        <f aca="false">SUMIFS(RawData!S2:S29,RawData!A2:A29,"&lt;"&amp;TodayDay)</f>
        <v>510.46</v>
      </c>
      <c r="B44" s="17"/>
      <c r="C44" s="17"/>
      <c r="D44" s="17"/>
      <c r="E44" s="17" t="n">
        <f aca="false">SUMIFS(RawData!T2:T29,RawData!A2:A29,"&lt;"&amp;TodayDay)</f>
        <v>3211.578</v>
      </c>
      <c r="F44" s="17"/>
      <c r="G44" s="17"/>
      <c r="H44" s="17"/>
      <c r="I44" s="17" t="n">
        <f aca="false">SUMIFS(RawData!U2:U29,RawData!A2:A29,"&lt;"&amp;TodayDay)</f>
        <v>0</v>
      </c>
      <c r="J44" s="17"/>
      <c r="K44" s="17"/>
      <c r="L44" s="17"/>
      <c r="M44" s="17" t="n">
        <f aca="false">SUMIFS(RawData!V2:V29,RawData!A2:A29,"&lt;"&amp;TodayDay)</f>
        <v>0</v>
      </c>
      <c r="N44" s="17"/>
      <c r="O44" s="17"/>
      <c r="P44" s="17"/>
    </row>
    <row r="45" customFormat="false" ht="13.5" hidden="false" customHeight="true" outlineLevel="0" collapsed="false">
      <c r="A45" s="18" t="n">
        <f aca="false">SUMIFS(RawData!I2:I29,RawData!A2:A29,"&lt;"&amp;TodayDay)</f>
        <v>56.983164</v>
      </c>
      <c r="B45" s="18"/>
      <c r="C45" s="18"/>
      <c r="D45" s="18"/>
      <c r="E45" s="18" t="n">
        <f aca="false">SUMIFS(RawData!J2:J29,RawData!A2:A29,"&lt;"&amp;TodayDay)</f>
        <v>74.383008</v>
      </c>
      <c r="F45" s="18"/>
      <c r="G45" s="18"/>
      <c r="H45" s="18"/>
      <c r="I45" s="18" t="n">
        <f aca="false">SUMIFS(RawData!K2:K29,RawData!A2:A29,"&lt;"&amp;TodayDay)</f>
        <v>0</v>
      </c>
      <c r="J45" s="18"/>
      <c r="K45" s="18"/>
      <c r="L45" s="18"/>
      <c r="M45" s="18" t="n">
        <f aca="false">SUMIFS(RawData!L2:L29,RawData!A2:A29,"&lt;"&amp;TodayDay)</f>
        <v>0</v>
      </c>
      <c r="N45" s="18"/>
      <c r="O45" s="18"/>
      <c r="P45" s="18"/>
    </row>
    <row r="46" customFormat="false" ht="15.75" hidden="false" customHeight="true" outlineLevel="0" collapsed="false">
      <c r="A46" s="14" t="str">
        <f aca="false">IF((A44-A45)&gt;=0,"▲ +"&amp;TEXT(ABS(A44-A45),"#,##0.00"),"▼ "&amp;TEXT(ABS(A44-A45),"#,##0.00"))</f>
        <v>▲ +453.48</v>
      </c>
      <c r="B46" s="14"/>
      <c r="C46" s="14"/>
      <c r="D46" s="14"/>
      <c r="E46" s="14" t="str">
        <f aca="false">IF((E44-E45)&gt;=0,"▲ +"&amp;TEXT(ABS(E44-E45),"#,##0.00"),"▼ "&amp;TEXT(ABS(E44-E45),"#,##0.00"))</f>
        <v>▲ +3,137.19</v>
      </c>
      <c r="F46" s="14"/>
      <c r="G46" s="14"/>
      <c r="H46" s="14"/>
      <c r="I46" s="14" t="str">
        <f aca="false">IF((I44-I45)&gt;=0,"▲ +"&amp;TEXT(ABS(I44-I45),"#,##0.00"),"▼ "&amp;TEXT(ABS(I44-I45),"#,##0.00"))</f>
        <v>▲ +0.00</v>
      </c>
      <c r="J46" s="14"/>
      <c r="K46" s="14"/>
      <c r="L46" s="14"/>
      <c r="M46" s="14" t="str">
        <f aca="false">IF((M44-M45)&gt;=0,"▲ +"&amp;TEXT(ABS(M44-M45),"#,##0.00"),"▼ "&amp;TEXT(ABS(M44-M45),"#,##0.00"))</f>
        <v>▲ +0.00</v>
      </c>
      <c r="N46" s="14"/>
      <c r="O46" s="14"/>
      <c r="P46" s="14"/>
    </row>
    <row r="49" customFormat="false" ht="15" hidden="false" customHeight="true" outlineLevel="0" collapsed="false">
      <c r="A49" s="16" t="s">
        <v>23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</row>
    <row r="50" customFormat="false" ht="15" hidden="false" customHeight="false" outlineLevel="0" collapsed="false">
      <c r="A50" s="19" t="s">
        <v>24</v>
      </c>
      <c r="B50" s="19" t="s">
        <v>25</v>
      </c>
      <c r="C50" s="19" t="s">
        <v>26</v>
      </c>
      <c r="D50" s="19" t="s">
        <v>15</v>
      </c>
      <c r="E50" s="19" t="s">
        <v>16</v>
      </c>
      <c r="F50" s="19" t="s">
        <v>17</v>
      </c>
      <c r="G50" s="19" t="s">
        <v>18</v>
      </c>
      <c r="H50" s="19" t="s">
        <v>19</v>
      </c>
      <c r="I50" s="19" t="s">
        <v>20</v>
      </c>
      <c r="J50" s="19" t="s">
        <v>21</v>
      </c>
      <c r="K50" s="19" t="s">
        <v>22</v>
      </c>
      <c r="L50" s="19" t="s">
        <v>27</v>
      </c>
      <c r="M50" s="19" t="s">
        <v>28</v>
      </c>
    </row>
    <row r="51" customFormat="false" ht="15" hidden="false" customHeight="false" outlineLevel="0" collapsed="false">
      <c r="A51" s="20" t="n">
        <v>27</v>
      </c>
      <c r="B51" s="21" t="s">
        <v>29</v>
      </c>
      <c r="C51" s="22" t="s">
        <v>30</v>
      </c>
      <c r="D51" s="23" t="n">
        <f aca="false">SUMIFS(RawData!E2:E29,RawData!B2:B29,27)</f>
        <v>-121369.3245</v>
      </c>
      <c r="E51" s="23" t="n">
        <f aca="false">SUMIFS(RawData!F2:F29,RawData!B2:B29,27)</f>
        <v>537.59426</v>
      </c>
      <c r="F51" s="23" t="n">
        <f aca="false">SUMIFS(RawData!G2:G29,RawData!B2:B29,27)</f>
        <v>19.23077</v>
      </c>
      <c r="G51" s="23" t="n">
        <f aca="false">SUMIFS(RawData!H2:H29,RawData!B2:B29,27)</f>
        <v>33.520585</v>
      </c>
      <c r="H51" s="23" t="n">
        <f aca="false">SUMIFS(RawData!I2:I29,RawData!B2:B29,27)</f>
        <v>33.240179</v>
      </c>
      <c r="I51" s="23" t="n">
        <f aca="false">SUMIFS(RawData!J2:J29,RawData!B2:B29,27)</f>
        <v>43.390088</v>
      </c>
      <c r="J51" s="23" t="n">
        <f aca="false">SUMIFS(RawData!K2:K29,RawData!B2:B29,27)</f>
        <v>0</v>
      </c>
      <c r="K51" s="23" t="n">
        <f aca="false">SUMIFS(RawData!L2:L29,RawData!B2:B29,27)</f>
        <v>0</v>
      </c>
      <c r="L51" s="23" t="n">
        <f aca="false">SUMIFS(RawData!M2:M29,RawData!B2:B29,27)</f>
        <v>-120702.348618</v>
      </c>
      <c r="M51" s="24" t="n">
        <f aca="false">AVERAGEIFS(RawData!N2:N29,RawData!B2:B29,27)</f>
        <v>-0.0814502857142857</v>
      </c>
    </row>
    <row r="52" customFormat="false" ht="15" hidden="false" customHeight="false" outlineLevel="0" collapsed="false">
      <c r="A52" s="25"/>
      <c r="B52" s="25"/>
      <c r="C52" s="26" t="s">
        <v>31</v>
      </c>
      <c r="D52" s="27" t="n">
        <f aca="false">SUMIFS(RawData!O2:O29,RawData!B2:B29,27)</f>
        <v>-114110.62</v>
      </c>
      <c r="E52" s="27" t="n">
        <f aca="false">SUMIFS(RawData!P2:P29,RawData!B2:B29,27)</f>
        <v>0</v>
      </c>
      <c r="F52" s="27" t="n">
        <f aca="false">SUMIFS(RawData!Q2:Q29,RawData!B2:B29,27)</f>
        <v>0</v>
      </c>
      <c r="G52" s="27" t="n">
        <f aca="false">SUMIFS(RawData!R2:R29,RawData!B2:B29,27)</f>
        <v>0</v>
      </c>
      <c r="H52" s="27" t="n">
        <f aca="false">SUMIFS(RawData!S2:S29,RawData!B2:B29,27)</f>
        <v>0</v>
      </c>
      <c r="I52" s="27" t="n">
        <f aca="false">SUMIFS(RawData!T2:T29,RawData!B2:B29,27)</f>
        <v>1722.208</v>
      </c>
      <c r="J52" s="27" t="n">
        <f aca="false">SUMIFS(RawData!U2:U29,RawData!B2:B29,27)</f>
        <v>0</v>
      </c>
      <c r="K52" s="27" t="n">
        <f aca="false">SUMIFS(RawData!V2:V29,RawData!B2:B29,27)</f>
        <v>0</v>
      </c>
      <c r="L52" s="27" t="n">
        <f aca="false">SUMIFS(RawData!W2:W29,RawData!B2:B29,27)</f>
        <v>-112388.412</v>
      </c>
      <c r="M52" s="28" t="n">
        <f aca="false">AVERAGEIFS(RawData!X2:X29,RawData!B2:B29,27)</f>
        <v>-0.07584</v>
      </c>
    </row>
    <row r="53" customFormat="false" ht="15" hidden="false" customHeight="false" outlineLevel="0" collapsed="false">
      <c r="A53" s="25"/>
      <c r="B53" s="25"/>
      <c r="C53" s="29" t="s">
        <v>32</v>
      </c>
      <c r="D53" s="27" t="n">
        <f aca="false">D52-D51</f>
        <v>7258.70450000001</v>
      </c>
      <c r="E53" s="27" t="n">
        <f aca="false">E52-E51</f>
        <v>-537.59426</v>
      </c>
      <c r="F53" s="27" t="n">
        <f aca="false">F52-F51</f>
        <v>-19.23077</v>
      </c>
      <c r="G53" s="27" t="n">
        <f aca="false">G52-G51</f>
        <v>-33.520585</v>
      </c>
      <c r="H53" s="27" t="n">
        <f aca="false">H52-H51</f>
        <v>-33.240179</v>
      </c>
      <c r="I53" s="27" t="n">
        <f aca="false">I52-I51</f>
        <v>1678.817912</v>
      </c>
      <c r="J53" s="27" t="n">
        <f aca="false">J52-J51</f>
        <v>0</v>
      </c>
      <c r="K53" s="27" t="n">
        <f aca="false">K52-K51</f>
        <v>0</v>
      </c>
      <c r="L53" s="27" t="n">
        <f aca="false">L52-L51</f>
        <v>8313.93661799999</v>
      </c>
      <c r="M53" s="28" t="n">
        <f aca="false">M52-M51</f>
        <v>0.00561028571428571</v>
      </c>
    </row>
    <row r="54" customFormat="false" ht="15" hidden="false" customHeight="false" outlineLevel="0" collapsed="false">
      <c r="A54" s="20" t="n">
        <v>28</v>
      </c>
      <c r="B54" s="21" t="s">
        <v>33</v>
      </c>
      <c r="C54" s="22" t="s">
        <v>30</v>
      </c>
      <c r="D54" s="23" t="n">
        <f aca="false">SUMIFS(RawData!E2:E29,RawData!B2:B29,28)</f>
        <v>-121369.3245</v>
      </c>
      <c r="E54" s="23" t="n">
        <f aca="false">SUMIFS(RawData!F2:F29,RawData!B2:B29,28)</f>
        <v>537.59426</v>
      </c>
      <c r="F54" s="23" t="n">
        <f aca="false">SUMIFS(RawData!G2:G29,RawData!B2:B29,28)</f>
        <v>19.23077</v>
      </c>
      <c r="G54" s="23" t="n">
        <f aca="false">SUMIFS(RawData!H2:H29,RawData!B2:B29,28)</f>
        <v>33.520585</v>
      </c>
      <c r="H54" s="23" t="n">
        <f aca="false">SUMIFS(RawData!I2:I29,RawData!B2:B29,28)</f>
        <v>33.240179</v>
      </c>
      <c r="I54" s="23" t="n">
        <f aca="false">SUMIFS(RawData!J2:J29,RawData!B2:B29,28)</f>
        <v>43.390088</v>
      </c>
      <c r="J54" s="23" t="n">
        <f aca="false">SUMIFS(RawData!K2:K29,RawData!B2:B29,28)</f>
        <v>0</v>
      </c>
      <c r="K54" s="23" t="n">
        <f aca="false">SUMIFS(RawData!L2:L29,RawData!B2:B29,28)</f>
        <v>0</v>
      </c>
      <c r="L54" s="23" t="n">
        <f aca="false">SUMIFS(RawData!M2:M29,RawData!B2:B29,28)</f>
        <v>-120702.348618</v>
      </c>
      <c r="M54" s="24" t="n">
        <f aca="false">AVERAGEIFS(RawData!N2:N29,RawData!B2:B29,28)</f>
        <v>-0.0814502857142857</v>
      </c>
    </row>
    <row r="55" customFormat="false" ht="15" hidden="false" customHeight="false" outlineLevel="0" collapsed="false">
      <c r="A55" s="25"/>
      <c r="B55" s="25"/>
      <c r="C55" s="26" t="s">
        <v>31</v>
      </c>
      <c r="D55" s="27" t="n">
        <f aca="false">SUMIFS(RawData!O2:O29,RawData!B2:B29,28)</f>
        <v>-82724.77</v>
      </c>
      <c r="E55" s="27" t="n">
        <f aca="false">SUMIFS(RawData!P2:P29,RawData!B2:B29,28)</f>
        <v>0</v>
      </c>
      <c r="F55" s="27" t="n">
        <f aca="false">SUMIFS(RawData!Q2:Q29,RawData!B2:B29,28)</f>
        <v>0</v>
      </c>
      <c r="G55" s="27" t="n">
        <f aca="false">SUMIFS(RawData!R2:R29,RawData!B2:B29,28)</f>
        <v>0</v>
      </c>
      <c r="H55" s="27" t="n">
        <f aca="false">SUMIFS(RawData!S2:S29,RawData!B2:B29,28)</f>
        <v>510.46</v>
      </c>
      <c r="I55" s="27" t="n">
        <f aca="false">SUMIFS(RawData!T2:T29,RawData!B2:B29,28)</f>
        <v>1489.37</v>
      </c>
      <c r="J55" s="27" t="n">
        <f aca="false">SUMIFS(RawData!U2:U29,RawData!B2:B29,28)</f>
        <v>0</v>
      </c>
      <c r="K55" s="27" t="n">
        <f aca="false">SUMIFS(RawData!V2:V29,RawData!B2:B29,28)</f>
        <v>0</v>
      </c>
      <c r="L55" s="27" t="n">
        <f aca="false">SUMIFS(RawData!W2:W29,RawData!B2:B29,28)</f>
        <v>-80724.94</v>
      </c>
      <c r="M55" s="28" t="n">
        <f aca="false">AVERAGEIFS(RawData!X2:X29,RawData!B2:B29,28)</f>
        <v>-0.0544732857142857</v>
      </c>
    </row>
    <row r="56" customFormat="false" ht="15" hidden="false" customHeight="false" outlineLevel="0" collapsed="false">
      <c r="A56" s="25"/>
      <c r="B56" s="25"/>
      <c r="C56" s="29" t="s">
        <v>32</v>
      </c>
      <c r="D56" s="27" t="n">
        <f aca="false">D55-D54</f>
        <v>38644.5545</v>
      </c>
      <c r="E56" s="27" t="n">
        <f aca="false">E55-E54</f>
        <v>-537.59426</v>
      </c>
      <c r="F56" s="27" t="n">
        <f aca="false">F55-F54</f>
        <v>-19.23077</v>
      </c>
      <c r="G56" s="27" t="n">
        <f aca="false">G55-G54</f>
        <v>-33.520585</v>
      </c>
      <c r="H56" s="27" t="n">
        <f aca="false">H55-H54</f>
        <v>477.219821</v>
      </c>
      <c r="I56" s="27" t="n">
        <f aca="false">I55-I54</f>
        <v>1445.979912</v>
      </c>
      <c r="J56" s="27" t="n">
        <f aca="false">J55-J54</f>
        <v>0</v>
      </c>
      <c r="K56" s="27" t="n">
        <f aca="false">K55-K54</f>
        <v>0</v>
      </c>
      <c r="L56" s="27" t="n">
        <f aca="false">L55-L54</f>
        <v>39977.408618</v>
      </c>
      <c r="M56" s="28" t="n">
        <f aca="false">M55-M54</f>
        <v>0.026977</v>
      </c>
    </row>
    <row r="57" customFormat="false" ht="15" hidden="false" customHeight="false" outlineLevel="0" collapsed="false">
      <c r="A57" s="20" t="n">
        <v>29</v>
      </c>
      <c r="B57" s="21" t="s">
        <v>34</v>
      </c>
      <c r="C57" s="22" t="s">
        <v>30</v>
      </c>
      <c r="D57" s="23" t="n">
        <f aca="false">SUMIFS(RawData!E2:E29,RawData!B2:B29,29)</f>
        <v>-121369.3245</v>
      </c>
      <c r="E57" s="23" t="n">
        <f aca="false">SUMIFS(RawData!F2:F29,RawData!B2:B29,29)</f>
        <v>537.59426</v>
      </c>
      <c r="F57" s="23" t="n">
        <f aca="false">SUMIFS(RawData!G2:G29,RawData!B2:B29,29)</f>
        <v>19.23077</v>
      </c>
      <c r="G57" s="23" t="n">
        <f aca="false">SUMIFS(RawData!H2:H29,RawData!B2:B29,29)</f>
        <v>33.520585</v>
      </c>
      <c r="H57" s="23" t="n">
        <f aca="false">SUMIFS(RawData!I2:I29,RawData!B2:B29,29)</f>
        <v>33.240179</v>
      </c>
      <c r="I57" s="23" t="n">
        <f aca="false">SUMIFS(RawData!J2:J29,RawData!B2:B29,29)</f>
        <v>43.390088</v>
      </c>
      <c r="J57" s="23" t="n">
        <f aca="false">SUMIFS(RawData!K2:K29,RawData!B2:B29,29)</f>
        <v>0</v>
      </c>
      <c r="K57" s="23" t="n">
        <f aca="false">SUMIFS(RawData!L2:L29,RawData!B2:B29,29)</f>
        <v>0</v>
      </c>
      <c r="L57" s="23" t="n">
        <f aca="false">SUMIFS(RawData!M2:M29,RawData!B2:B29,29)</f>
        <v>-120702.348618</v>
      </c>
      <c r="M57" s="24" t="n">
        <f aca="false">AVERAGEIFS(RawData!N2:N29,RawData!B2:B29,29)</f>
        <v>-0.0814671428571429</v>
      </c>
    </row>
    <row r="58" customFormat="false" ht="15" hidden="false" customHeight="false" outlineLevel="0" collapsed="false">
      <c r="A58" s="25"/>
      <c r="B58" s="25"/>
      <c r="C58" s="26" t="s">
        <v>31</v>
      </c>
      <c r="D58" s="27" t="n">
        <f aca="false">SUMIFS(RawData!O2:O29,RawData!B2:B29,29)</f>
        <v>0</v>
      </c>
      <c r="E58" s="27" t="n">
        <f aca="false">SUMIFS(RawData!P2:P29,RawData!B2:B29,29)</f>
        <v>0</v>
      </c>
      <c r="F58" s="27" t="n">
        <f aca="false">SUMIFS(RawData!Q2:Q29,RawData!B2:B29,29)</f>
        <v>0</v>
      </c>
      <c r="G58" s="27" t="n">
        <f aca="false">SUMIFS(RawData!R2:R29,RawData!B2:B29,29)</f>
        <v>0</v>
      </c>
      <c r="H58" s="27" t="n">
        <f aca="false">SUMIFS(RawData!S2:S29,RawData!B2:B29,29)</f>
        <v>0</v>
      </c>
      <c r="I58" s="27" t="n">
        <f aca="false">SUMIFS(RawData!T2:T29,RawData!B2:B29,29)</f>
        <v>0</v>
      </c>
      <c r="J58" s="27" t="n">
        <f aca="false">SUMIFS(RawData!U2:U29,RawData!B2:B29,29)</f>
        <v>0</v>
      </c>
      <c r="K58" s="27" t="n">
        <f aca="false">SUMIFS(RawData!V2:V29,RawData!B2:B29,29)</f>
        <v>0</v>
      </c>
      <c r="L58" s="27" t="n">
        <f aca="false">SUMIFS(RawData!W2:W29,RawData!B2:B29,29)</f>
        <v>0</v>
      </c>
      <c r="M58" s="28" t="n">
        <f aca="false">AVERAGEIFS(RawData!X2:X29,RawData!B2:B29,29)</f>
        <v>0</v>
      </c>
    </row>
    <row r="59" customFormat="false" ht="15" hidden="false" customHeight="false" outlineLevel="0" collapsed="false">
      <c r="A59" s="25"/>
      <c r="B59" s="25"/>
      <c r="C59" s="29" t="s">
        <v>32</v>
      </c>
      <c r="D59" s="27" t="n">
        <f aca="false">D58-D57</f>
        <v>121369.3245</v>
      </c>
      <c r="E59" s="27" t="n">
        <f aca="false">E58-E57</f>
        <v>-537.59426</v>
      </c>
      <c r="F59" s="27" t="n">
        <f aca="false">F58-F57</f>
        <v>-19.23077</v>
      </c>
      <c r="G59" s="27" t="n">
        <f aca="false">G58-G57</f>
        <v>-33.520585</v>
      </c>
      <c r="H59" s="27" t="n">
        <f aca="false">H58-H57</f>
        <v>-33.240179</v>
      </c>
      <c r="I59" s="27" t="n">
        <f aca="false">I58-I57</f>
        <v>-43.390088</v>
      </c>
      <c r="J59" s="27" t="n">
        <f aca="false">J58-J57</f>
        <v>0</v>
      </c>
      <c r="K59" s="27" t="n">
        <f aca="false">K58-K57</f>
        <v>0</v>
      </c>
      <c r="L59" s="27" t="n">
        <f aca="false">L58-L57</f>
        <v>120702.348618</v>
      </c>
      <c r="M59" s="28" t="n">
        <f aca="false">M58-M57</f>
        <v>0.0814671428571429</v>
      </c>
    </row>
    <row r="60" customFormat="false" ht="15" hidden="false" customHeight="false" outlineLevel="0" collapsed="false">
      <c r="A60" s="20" t="n">
        <v>30</v>
      </c>
      <c r="B60" s="21" t="s">
        <v>35</v>
      </c>
      <c r="C60" s="22" t="s">
        <v>30</v>
      </c>
      <c r="D60" s="23" t="n">
        <f aca="false">SUMIFS(RawData!E2:E29,RawData!B2:B29,30)</f>
        <v>-121369.3245</v>
      </c>
      <c r="E60" s="23" t="n">
        <f aca="false">SUMIFS(RawData!F2:F29,RawData!B2:B29,30)</f>
        <v>537.59426</v>
      </c>
      <c r="F60" s="23" t="n">
        <f aca="false">SUMIFS(RawData!G2:G29,RawData!B2:B29,30)</f>
        <v>19.23077</v>
      </c>
      <c r="G60" s="23" t="n">
        <f aca="false">SUMIFS(RawData!H2:H29,RawData!B2:B29,30)</f>
        <v>33.520585</v>
      </c>
      <c r="H60" s="23" t="n">
        <f aca="false">SUMIFS(RawData!I2:I29,RawData!B2:B29,30)</f>
        <v>33.240179</v>
      </c>
      <c r="I60" s="23" t="n">
        <f aca="false">SUMIFS(RawData!J2:J29,RawData!B2:B29,30)</f>
        <v>43.390088</v>
      </c>
      <c r="J60" s="23" t="n">
        <f aca="false">SUMIFS(RawData!K2:K29,RawData!B2:B29,30)</f>
        <v>0</v>
      </c>
      <c r="K60" s="23" t="n">
        <f aca="false">SUMIFS(RawData!L2:L29,RawData!B2:B29,30)</f>
        <v>0</v>
      </c>
      <c r="L60" s="23" t="n">
        <f aca="false">SUMIFS(RawData!M2:M29,RawData!B2:B29,30)</f>
        <v>-120702.348618</v>
      </c>
      <c r="M60" s="24" t="n">
        <f aca="false">AVERAGEIFS(RawData!N2:N29,RawData!B2:B29,30)</f>
        <v>-0.0814502857142857</v>
      </c>
    </row>
    <row r="61" customFormat="false" ht="15" hidden="false" customHeight="false" outlineLevel="0" collapsed="false">
      <c r="A61" s="25"/>
      <c r="B61" s="25"/>
      <c r="C61" s="26" t="s">
        <v>31</v>
      </c>
      <c r="D61" s="27" t="n">
        <f aca="false">SUMIFS(RawData!O2:O29,RawData!B2:B29,30)</f>
        <v>0</v>
      </c>
      <c r="E61" s="27" t="n">
        <f aca="false">SUMIFS(RawData!P2:P29,RawData!B2:B29,30)</f>
        <v>0</v>
      </c>
      <c r="F61" s="27" t="n">
        <f aca="false">SUMIFS(RawData!Q2:Q29,RawData!B2:B29,30)</f>
        <v>0</v>
      </c>
      <c r="G61" s="27" t="n">
        <f aca="false">SUMIFS(RawData!R2:R29,RawData!B2:B29,30)</f>
        <v>0</v>
      </c>
      <c r="H61" s="27" t="n">
        <f aca="false">SUMIFS(RawData!S2:S29,RawData!B2:B29,30)</f>
        <v>0</v>
      </c>
      <c r="I61" s="27" t="n">
        <f aca="false">SUMIFS(RawData!T2:T29,RawData!B2:B29,30)</f>
        <v>0</v>
      </c>
      <c r="J61" s="27" t="n">
        <f aca="false">SUMIFS(RawData!U2:U29,RawData!B2:B29,30)</f>
        <v>0</v>
      </c>
      <c r="K61" s="27" t="n">
        <f aca="false">SUMIFS(RawData!V2:V29,RawData!B2:B29,30)</f>
        <v>0</v>
      </c>
      <c r="L61" s="27" t="n">
        <f aca="false">SUMIFS(RawData!W2:W29,RawData!B2:B29,30)</f>
        <v>0</v>
      </c>
      <c r="M61" s="28" t="n">
        <f aca="false">AVERAGEIFS(RawData!X2:X29,RawData!B2:B29,30)</f>
        <v>0</v>
      </c>
    </row>
    <row r="62" customFormat="false" ht="15" hidden="false" customHeight="false" outlineLevel="0" collapsed="false">
      <c r="A62" s="25"/>
      <c r="B62" s="25"/>
      <c r="C62" s="29" t="s">
        <v>32</v>
      </c>
      <c r="D62" s="27" t="n">
        <f aca="false">D61-D60</f>
        <v>121369.3245</v>
      </c>
      <c r="E62" s="27" t="n">
        <f aca="false">E61-E60</f>
        <v>-537.59426</v>
      </c>
      <c r="F62" s="27" t="n">
        <f aca="false">F61-F60</f>
        <v>-19.23077</v>
      </c>
      <c r="G62" s="27" t="n">
        <f aca="false">G61-G60</f>
        <v>-33.520585</v>
      </c>
      <c r="H62" s="27" t="n">
        <f aca="false">H61-H60</f>
        <v>-33.240179</v>
      </c>
      <c r="I62" s="27" t="n">
        <f aca="false">I61-I60</f>
        <v>-43.390088</v>
      </c>
      <c r="J62" s="27" t="n">
        <f aca="false">J61-J60</f>
        <v>0</v>
      </c>
      <c r="K62" s="27" t="n">
        <f aca="false">K61-K60</f>
        <v>0</v>
      </c>
      <c r="L62" s="27" t="n">
        <f aca="false">L61-L60</f>
        <v>120702.348618</v>
      </c>
      <c r="M62" s="28" t="n">
        <f aca="false">M61-M60</f>
        <v>0.0814502857142857</v>
      </c>
    </row>
    <row r="65" customFormat="false" ht="15" hidden="false" customHeight="true" outlineLevel="0" collapsed="false">
      <c r="A65" s="16" t="s">
        <v>36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</row>
    <row r="66" customFormat="false" ht="15" hidden="false" customHeight="false" outlineLevel="0" collapsed="false">
      <c r="A66" s="19" t="s">
        <v>37</v>
      </c>
      <c r="B66" s="19" t="s">
        <v>38</v>
      </c>
      <c r="C66" s="19" t="s">
        <v>15</v>
      </c>
      <c r="D66" s="19" t="s">
        <v>16</v>
      </c>
      <c r="E66" s="19" t="s">
        <v>17</v>
      </c>
      <c r="F66" s="19" t="s">
        <v>18</v>
      </c>
      <c r="G66" s="19" t="s">
        <v>19</v>
      </c>
      <c r="H66" s="19" t="s">
        <v>20</v>
      </c>
      <c r="I66" s="19" t="s">
        <v>21</v>
      </c>
      <c r="J66" s="19" t="s">
        <v>22</v>
      </c>
      <c r="K66" s="19" t="s">
        <v>27</v>
      </c>
      <c r="L66" s="19" t="s">
        <v>28</v>
      </c>
    </row>
    <row r="67" customFormat="false" ht="15" hidden="false" customHeight="false" outlineLevel="0" collapsed="false">
      <c r="A67" s="26" t="s">
        <v>39</v>
      </c>
      <c r="B67" s="26" t="s">
        <v>40</v>
      </c>
      <c r="C67" s="30" t="n">
        <v>-535443.1143</v>
      </c>
      <c r="D67" s="30" t="n">
        <v>3231.941368</v>
      </c>
      <c r="E67" s="30" t="n">
        <v>0</v>
      </c>
      <c r="F67" s="30" t="n">
        <v>0</v>
      </c>
      <c r="G67" s="30" t="n">
        <v>0</v>
      </c>
      <c r="H67" s="30" t="n">
        <v>0</v>
      </c>
      <c r="I67" s="30" t="n">
        <v>0</v>
      </c>
      <c r="J67" s="30" t="n">
        <v>0</v>
      </c>
      <c r="K67" s="31" t="n">
        <f aca="false">SUM(C67:J67)</f>
        <v>-532211.172932</v>
      </c>
      <c r="L67" s="32" t="n">
        <f aca="false">K67/RevenueMonth</f>
        <v>-0.0897844060420384</v>
      </c>
    </row>
    <row r="68" customFormat="false" ht="15" hidden="false" customHeight="false" outlineLevel="0" collapsed="false">
      <c r="A68" s="26" t="s">
        <v>41</v>
      </c>
      <c r="B68" s="26" t="s">
        <v>42</v>
      </c>
      <c r="C68" s="27" t="n">
        <f aca="false">SUM(RawData!E2:E29)</f>
        <v>-485477.298</v>
      </c>
      <c r="D68" s="27" t="n">
        <f aca="false">SUM(RawData!F2:F29)</f>
        <v>2150.37704</v>
      </c>
      <c r="E68" s="27" t="n">
        <f aca="false">SUM(RawData!G2:G29)</f>
        <v>76.92308</v>
      </c>
      <c r="F68" s="27" t="n">
        <f aca="false">SUM(RawData!H2:H29)</f>
        <v>134.08234</v>
      </c>
      <c r="G68" s="27" t="n">
        <f aca="false">SUM(RawData!I2:I29)</f>
        <v>132.960716</v>
      </c>
      <c r="H68" s="27" t="n">
        <f aca="false">SUM(RawData!J2:J29)</f>
        <v>173.560352</v>
      </c>
      <c r="I68" s="27" t="n">
        <f aca="false">SUM(RawData!K2:K29)</f>
        <v>0</v>
      </c>
      <c r="J68" s="27" t="n">
        <f aca="false">SUM(RawData!L2:L29)</f>
        <v>0</v>
      </c>
      <c r="K68" s="31" t="n">
        <f aca="false">SUM(C68:J68)</f>
        <v>-482809.394472</v>
      </c>
      <c r="L68" s="32" t="n">
        <f aca="false">K68/RevenueMonth</f>
        <v>-0.081450290634397</v>
      </c>
    </row>
    <row r="69" customFormat="false" ht="15" hidden="false" customHeight="false" outlineLevel="0" collapsed="false">
      <c r="A69" s="29" t="str">
        <f aca="false">"Actual สะสม (ถึง "&amp;INDEX(RawData!C2:C29,MATCH(TodayDay-1,RawData!A2:A29,0))&amp;")"</f>
        <v>Actual สะสม (ถึง 10 ก.ค. 2569)</v>
      </c>
      <c r="B69" s="26" t="str">
        <f aca="false">LEFT(RawData!C2,LEN(RawData!C2)-5)&amp;"–"&amp;LEFT(INDEX(RawData!C2:C29,MATCH(TodayDay-1,RawData!A2:A29,0)),LEN(INDEX(RawData!C2:C29,MATCH(TodayDay-1,RawData!A2:A29,0)))-5)</f>
        <v>29 มิ.ย.–10 ก.ค.</v>
      </c>
      <c r="C69" s="27" t="n">
        <f aca="false">SUMIFS(RawData!O2:O29,RawData!A2:A29,"&lt;"&amp;TodayDay)</f>
        <v>-196835.39</v>
      </c>
      <c r="D69" s="27" t="n">
        <f aca="false">SUMIFS(RawData!P2:P29,RawData!A2:A29,"&lt;"&amp;TodayDay)</f>
        <v>0</v>
      </c>
      <c r="E69" s="27" t="n">
        <f aca="false">SUMIFS(RawData!Q2:Q29,RawData!A2:A29,"&lt;"&amp;TodayDay)</f>
        <v>0</v>
      </c>
      <c r="F69" s="27" t="n">
        <f aca="false">SUMIFS(RawData!R2:R29,RawData!A2:A29,"&lt;"&amp;TodayDay)</f>
        <v>0</v>
      </c>
      <c r="G69" s="27" t="n">
        <f aca="false">SUMIFS(RawData!S2:S29,RawData!A2:A29,"&lt;"&amp;TodayDay)</f>
        <v>510.46</v>
      </c>
      <c r="H69" s="27" t="n">
        <f aca="false">SUMIFS(RawData!T2:T29,RawData!A2:A29,"&lt;"&amp;TodayDay)</f>
        <v>3211.578</v>
      </c>
      <c r="I69" s="27" t="n">
        <f aca="false">SUMIFS(RawData!U2:U29,RawData!A2:A29,"&lt;"&amp;TodayDay)</f>
        <v>0</v>
      </c>
      <c r="J69" s="27" t="n">
        <f aca="false">SUMIFS(RawData!V2:V29,RawData!A2:A29,"&lt;"&amp;TodayDay)</f>
        <v>0</v>
      </c>
      <c r="K69" s="31" t="n">
        <f aca="false">SUM(C69:J69)</f>
        <v>-193113.352</v>
      </c>
      <c r="L69" s="32" t="n">
        <f aca="false">K69/RevenueMonth</f>
        <v>-0.0325783607897356</v>
      </c>
    </row>
    <row r="72" customFormat="false" ht="15" hidden="false" customHeight="true" outlineLevel="0" collapsed="false">
      <c r="A72" s="16" t="s">
        <v>43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</row>
    <row r="73" customFormat="false" ht="15" hidden="false" customHeight="true" outlineLevel="0" collapsed="false">
      <c r="A73" s="33" t="s">
        <v>44</v>
      </c>
      <c r="B73" s="33"/>
      <c r="C73" s="33"/>
      <c r="D73" s="33"/>
      <c r="E73" s="33"/>
      <c r="F73" s="33" t="s">
        <v>45</v>
      </c>
      <c r="G73" s="33"/>
      <c r="H73" s="33"/>
      <c r="I73" s="33"/>
      <c r="J73" s="33"/>
      <c r="K73" s="33"/>
      <c r="L73" s="33" t="s">
        <v>46</v>
      </c>
      <c r="M73" s="33"/>
      <c r="N73" s="33"/>
      <c r="O73" s="33"/>
      <c r="P73" s="33"/>
    </row>
    <row r="74" customFormat="false" ht="30" hidden="false" customHeight="true" outlineLevel="0" collapsed="false">
      <c r="A74" s="34" t="s">
        <v>47</v>
      </c>
      <c r="B74" s="34"/>
      <c r="C74" s="34"/>
      <c r="D74" s="34"/>
      <c r="E74" s="34"/>
      <c r="F74" s="34" t="s">
        <v>48</v>
      </c>
      <c r="G74" s="34"/>
      <c r="H74" s="34"/>
      <c r="I74" s="34"/>
      <c r="J74" s="34"/>
      <c r="K74" s="34"/>
      <c r="L74" s="34" t="s">
        <v>49</v>
      </c>
      <c r="M74" s="34"/>
      <c r="N74" s="34"/>
      <c r="O74" s="34"/>
      <c r="P74" s="34"/>
    </row>
    <row r="75" customFormat="false" ht="30" hidden="false" customHeight="true" outlineLevel="0" collapsed="false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</row>
    <row r="76" customFormat="false" ht="30" hidden="false" customHeight="true" outlineLevel="0" collapsed="false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</row>
    <row r="79" customFormat="false" ht="24" hidden="false" customHeight="true" outlineLevel="0" collapsed="false">
      <c r="A79" s="35" t="str">
        <f aca="false">IF(INDEX(RawData!X2:X29,MATCH(TodayDay-1,RawData!A2:A29,0))&gt;=INDEX(RawData!N2:N29,MATCH(TodayDay-1,RawData!A2:A29,0)),"✅ %MA/Revenue เมื่อวาน ("&amp;INDEX(RawData!C2:C29,MATCH(TodayDay-1,RawData!A2:A29,0))&amp;") = "&amp;TEXT(INDEX(RawData!X2:X29,MATCH(TodayDay-1,RawData!A2:A29,0)),"0.00%")&amp;" ดีกว่า Target ("&amp;TEXT(INDEX(RawData!N2:N29,MATCH(TodayDay-1,RawData!A2:A29,0)),"0.00%")&amp;") — ไม่มีการมอบหมายงานเพิ่มเติม","⚠️ %MA/Revenue เมื่อวาน ("&amp;INDEX(RawData!C2:C29,MATCH(TodayDay-1,RawData!A2:A29,0))&amp;") = "&amp;TEXT(INDEX(RawData!X2:X29,MATCH(TodayDay-1,RawData!A2:A29,0)),"0.00%")&amp;" ต่ำกว่า Target ("&amp;TEXT(INDEX(RawData!N2:N29,MATCH(TodayDay-1,RawData!A2:A29,0)),"0.00%")&amp;") — ต้องมอบหมายงานเพิ่มเติม ตรวจสอบทีม ap/ar/rc/so1/so2")</f>
        <v>✅ %MA/Revenue เมื่อวาน (10 ก.ค. 2569) = 0.00% ดีกว่า Target (-11.42%) — ไม่มีการมอบหมายงานเพิ่มเติม</v>
      </c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</row>
  </sheetData>
  <mergeCells count="94">
    <mergeCell ref="A1:P1"/>
    <mergeCell ref="A2:P2"/>
    <mergeCell ref="A3:P3"/>
    <mergeCell ref="A5:H5"/>
    <mergeCell ref="I5:P5"/>
    <mergeCell ref="A6:E6"/>
    <mergeCell ref="F6:H6"/>
    <mergeCell ref="I6:M6"/>
    <mergeCell ref="N6:P6"/>
    <mergeCell ref="A7:E7"/>
    <mergeCell ref="F7:H7"/>
    <mergeCell ref="I7:M7"/>
    <mergeCell ref="N7:P7"/>
    <mergeCell ref="A8:E8"/>
    <mergeCell ref="F8:H8"/>
    <mergeCell ref="I8:M8"/>
    <mergeCell ref="N8:P8"/>
    <mergeCell ref="A9:E9"/>
    <mergeCell ref="F9:H9"/>
    <mergeCell ref="I9:M9"/>
    <mergeCell ref="N9:P9"/>
    <mergeCell ref="A10:E10"/>
    <mergeCell ref="F10:H10"/>
    <mergeCell ref="I10:M10"/>
    <mergeCell ref="N10:P10"/>
    <mergeCell ref="A11:E11"/>
    <mergeCell ref="F11:H11"/>
    <mergeCell ref="I11:M11"/>
    <mergeCell ref="N11:P11"/>
    <mergeCell ref="A13:C13"/>
    <mergeCell ref="D13:F13"/>
    <mergeCell ref="G13:I13"/>
    <mergeCell ref="J13:L13"/>
    <mergeCell ref="M13:P13"/>
    <mergeCell ref="A14:C14"/>
    <mergeCell ref="D14:F14"/>
    <mergeCell ref="G14:I14"/>
    <mergeCell ref="J14:L14"/>
    <mergeCell ref="M14:P14"/>
    <mergeCell ref="A15:C15"/>
    <mergeCell ref="D15:F15"/>
    <mergeCell ref="G15:I15"/>
    <mergeCell ref="J15:L15"/>
    <mergeCell ref="M15:P15"/>
    <mergeCell ref="A16:C16"/>
    <mergeCell ref="D16:F16"/>
    <mergeCell ref="G16:I16"/>
    <mergeCell ref="J16:L16"/>
    <mergeCell ref="M16:P16"/>
    <mergeCell ref="A18:H18"/>
    <mergeCell ref="I18:P18"/>
    <mergeCell ref="A38:P38"/>
    <mergeCell ref="A39:D39"/>
    <mergeCell ref="E39:H39"/>
    <mergeCell ref="I39:L39"/>
    <mergeCell ref="M39:P39"/>
    <mergeCell ref="A40:D40"/>
    <mergeCell ref="E40:H40"/>
    <mergeCell ref="I40:L40"/>
    <mergeCell ref="M40:P40"/>
    <mergeCell ref="A41:D41"/>
    <mergeCell ref="E41:H41"/>
    <mergeCell ref="I41:L41"/>
    <mergeCell ref="M41:P41"/>
    <mergeCell ref="A42:D42"/>
    <mergeCell ref="E42:H42"/>
    <mergeCell ref="I42:L42"/>
    <mergeCell ref="M42:P42"/>
    <mergeCell ref="A43:D43"/>
    <mergeCell ref="E43:H43"/>
    <mergeCell ref="I43:L43"/>
    <mergeCell ref="M43:P43"/>
    <mergeCell ref="A44:D44"/>
    <mergeCell ref="E44:H44"/>
    <mergeCell ref="I44:L44"/>
    <mergeCell ref="M44:P44"/>
    <mergeCell ref="A45:D45"/>
    <mergeCell ref="E45:H45"/>
    <mergeCell ref="I45:L45"/>
    <mergeCell ref="M45:P45"/>
    <mergeCell ref="A46:D46"/>
    <mergeCell ref="E46:H46"/>
    <mergeCell ref="I46:L46"/>
    <mergeCell ref="M46:P46"/>
    <mergeCell ref="A49:L49"/>
    <mergeCell ref="A65:P65"/>
    <mergeCell ref="A72:P72"/>
    <mergeCell ref="A73:E73"/>
    <mergeCell ref="F73:K73"/>
    <mergeCell ref="L73:P73"/>
    <mergeCell ref="A74:E76"/>
    <mergeCell ref="F74:K76"/>
    <mergeCell ref="L74:P76"/>
    <mergeCell ref="A79:P79"/>
  </mergeCells>
  <conditionalFormatting sqref="F7">
    <cfRule type="expression" priority="2" aboveAverage="0" equalAverage="0" bottom="0" percent="0" rank="0" text="" dxfId="0">
      <formula>F7&gt;F8</formula>
    </cfRule>
    <cfRule type="expression" priority="3" aboveAverage="0" equalAverage="0" bottom="0" percent="0" rank="0" text="" dxfId="1">
      <formula>F7&lt;F8</formula>
    </cfRule>
  </conditionalFormatting>
  <conditionalFormatting sqref="F10">
    <cfRule type="expression" priority="4" aboveAverage="0" equalAverage="0" bottom="0" percent="0" rank="0" text="" dxfId="0">
      <formula>F10&gt;F11</formula>
    </cfRule>
    <cfRule type="expression" priority="5" aboveAverage="0" equalAverage="0" bottom="0" percent="0" rank="0" text="" dxfId="1">
      <formula>F10&lt;F11</formula>
    </cfRule>
  </conditionalFormatting>
  <conditionalFormatting sqref="N7">
    <cfRule type="expression" priority="6" aboveAverage="0" equalAverage="0" bottom="0" percent="0" rank="0" text="" dxfId="0">
      <formula>N7&gt;N8</formula>
    </cfRule>
    <cfRule type="expression" priority="7" aboveAverage="0" equalAverage="0" bottom="0" percent="0" rank="0" text="" dxfId="1">
      <formula>N7&lt;N8</formula>
    </cfRule>
  </conditionalFormatting>
  <conditionalFormatting sqref="N10">
    <cfRule type="expression" priority="8" aboveAverage="0" equalAverage="0" bottom="0" percent="0" rank="0" text="" dxfId="0">
      <formula>N10&gt;N11</formula>
    </cfRule>
    <cfRule type="expression" priority="9" aboveAverage="0" equalAverage="0" bottom="0" percent="0" rank="0" text="" dxfId="1">
      <formula>N10&lt;N11</formula>
    </cfRule>
  </conditionalFormatting>
  <conditionalFormatting sqref="A16:C16">
    <cfRule type="expression" priority="10" aboveAverage="0" equalAverage="0" bottom="0" percent="0" rank="0" text="" dxfId="2">
      <formula>(A14-A15)&lt;0</formula>
    </cfRule>
  </conditionalFormatting>
  <conditionalFormatting sqref="A14">
    <cfRule type="expression" priority="11" aboveAverage="0" equalAverage="0" bottom="0" percent="0" rank="0" text="" dxfId="0">
      <formula>A14&gt;A15</formula>
    </cfRule>
    <cfRule type="expression" priority="12" aboveAverage="0" equalAverage="0" bottom="0" percent="0" rank="0" text="" dxfId="1">
      <formula>A14&lt;A15</formula>
    </cfRule>
  </conditionalFormatting>
  <conditionalFormatting sqref="D16:F16">
    <cfRule type="expression" priority="13" aboveAverage="0" equalAverage="0" bottom="0" percent="0" rank="0" text="" dxfId="2">
      <formula>(D14-D15)&lt;0</formula>
    </cfRule>
  </conditionalFormatting>
  <conditionalFormatting sqref="D14">
    <cfRule type="expression" priority="14" aboveAverage="0" equalAverage="0" bottom="0" percent="0" rank="0" text="" dxfId="0">
      <formula>D14&gt;D15</formula>
    </cfRule>
    <cfRule type="expression" priority="15" aboveAverage="0" equalAverage="0" bottom="0" percent="0" rank="0" text="" dxfId="1">
      <formula>D14&lt;D15</formula>
    </cfRule>
  </conditionalFormatting>
  <conditionalFormatting sqref="G16:I16">
    <cfRule type="expression" priority="16" aboveAverage="0" equalAverage="0" bottom="0" percent="0" rank="0" text="" dxfId="2">
      <formula>(G14-G15)&lt;0</formula>
    </cfRule>
  </conditionalFormatting>
  <conditionalFormatting sqref="G14">
    <cfRule type="expression" priority="17" aboveAverage="0" equalAverage="0" bottom="0" percent="0" rank="0" text="" dxfId="0">
      <formula>G14&gt;G15</formula>
    </cfRule>
    <cfRule type="expression" priority="18" aboveAverage="0" equalAverage="0" bottom="0" percent="0" rank="0" text="" dxfId="1">
      <formula>G14&lt;G15</formula>
    </cfRule>
  </conditionalFormatting>
  <conditionalFormatting sqref="J16:L16">
    <cfRule type="expression" priority="19" aboveAverage="0" equalAverage="0" bottom="0" percent="0" rank="0" text="" dxfId="2">
      <formula>(J14-J15)&lt;0</formula>
    </cfRule>
  </conditionalFormatting>
  <conditionalFormatting sqref="J14">
    <cfRule type="expression" priority="20" aboveAverage="0" equalAverage="0" bottom="0" percent="0" rank="0" text="" dxfId="0">
      <formula>J14&gt;J15</formula>
    </cfRule>
    <cfRule type="expression" priority="21" aboveAverage="0" equalAverage="0" bottom="0" percent="0" rank="0" text="" dxfId="1">
      <formula>J14&lt;J15</formula>
    </cfRule>
  </conditionalFormatting>
  <conditionalFormatting sqref="M16:P16">
    <cfRule type="expression" priority="22" aboveAverage="0" equalAverage="0" bottom="0" percent="0" rank="0" text="" dxfId="2">
      <formula>(M14-M15)&lt;0</formula>
    </cfRule>
  </conditionalFormatting>
  <conditionalFormatting sqref="M14">
    <cfRule type="expression" priority="23" aboveAverage="0" equalAverage="0" bottom="0" percent="0" rank="0" text="" dxfId="0">
      <formula>M14&gt;M15</formula>
    </cfRule>
    <cfRule type="expression" priority="24" aboveAverage="0" equalAverage="0" bottom="0" percent="0" rank="0" text="" dxfId="1">
      <formula>M14&lt;M15</formula>
    </cfRule>
  </conditionalFormatting>
  <conditionalFormatting sqref="A42:D42">
    <cfRule type="expression" priority="25" aboveAverage="0" equalAverage="0" bottom="0" percent="0" rank="0" text="" dxfId="2">
      <formula>(A40-A41)&lt;0</formula>
    </cfRule>
  </conditionalFormatting>
  <conditionalFormatting sqref="A40">
    <cfRule type="expression" priority="26" aboveAverage="0" equalAverage="0" bottom="0" percent="0" rank="0" text="" dxfId="0">
      <formula>A40&gt;A41</formula>
    </cfRule>
    <cfRule type="expression" priority="27" aboveAverage="0" equalAverage="0" bottom="0" percent="0" rank="0" text="" dxfId="1">
      <formula>A40&lt;A41</formula>
    </cfRule>
  </conditionalFormatting>
  <conditionalFormatting sqref="E42:H42">
    <cfRule type="expression" priority="28" aboveAverage="0" equalAverage="0" bottom="0" percent="0" rank="0" text="" dxfId="2">
      <formula>(E40-E41)&lt;0</formula>
    </cfRule>
  </conditionalFormatting>
  <conditionalFormatting sqref="E40">
    <cfRule type="expression" priority="29" aboveAverage="0" equalAverage="0" bottom="0" percent="0" rank="0" text="" dxfId="0">
      <formula>E40&gt;E41</formula>
    </cfRule>
    <cfRule type="expression" priority="30" aboveAverage="0" equalAverage="0" bottom="0" percent="0" rank="0" text="" dxfId="1">
      <formula>E40&lt;E41</formula>
    </cfRule>
  </conditionalFormatting>
  <conditionalFormatting sqref="I42:L42">
    <cfRule type="expression" priority="31" aboveAverage="0" equalAverage="0" bottom="0" percent="0" rank="0" text="" dxfId="2">
      <formula>(I40-I41)&lt;0</formula>
    </cfRule>
  </conditionalFormatting>
  <conditionalFormatting sqref="I40">
    <cfRule type="expression" priority="32" aboveAverage="0" equalAverage="0" bottom="0" percent="0" rank="0" text="" dxfId="0">
      <formula>I40&gt;I41</formula>
    </cfRule>
    <cfRule type="expression" priority="33" aboveAverage="0" equalAverage="0" bottom="0" percent="0" rank="0" text="" dxfId="1">
      <formula>I40&lt;I41</formula>
    </cfRule>
  </conditionalFormatting>
  <conditionalFormatting sqref="M42:P42">
    <cfRule type="expression" priority="34" aboveAverage="0" equalAverage="0" bottom="0" percent="0" rank="0" text="" dxfId="2">
      <formula>(M40-M41)&lt;0</formula>
    </cfRule>
  </conditionalFormatting>
  <conditionalFormatting sqref="M40">
    <cfRule type="expression" priority="35" aboveAverage="0" equalAverage="0" bottom="0" percent="0" rank="0" text="" dxfId="0">
      <formula>M40&gt;M41</formula>
    </cfRule>
    <cfRule type="expression" priority="36" aboveAverage="0" equalAverage="0" bottom="0" percent="0" rank="0" text="" dxfId="1">
      <formula>M40&lt;M41</formula>
    </cfRule>
  </conditionalFormatting>
  <conditionalFormatting sqref="A46:D46">
    <cfRule type="expression" priority="37" aboveAverage="0" equalAverage="0" bottom="0" percent="0" rank="0" text="" dxfId="2">
      <formula>(A44-A45)&lt;0</formula>
    </cfRule>
  </conditionalFormatting>
  <conditionalFormatting sqref="A44">
    <cfRule type="expression" priority="38" aboveAverage="0" equalAverage="0" bottom="0" percent="0" rank="0" text="" dxfId="0">
      <formula>A44&gt;A45</formula>
    </cfRule>
    <cfRule type="expression" priority="39" aboveAverage="0" equalAverage="0" bottom="0" percent="0" rank="0" text="" dxfId="1">
      <formula>A44&lt;A45</formula>
    </cfRule>
  </conditionalFormatting>
  <conditionalFormatting sqref="E46:H46">
    <cfRule type="expression" priority="40" aboveAverage="0" equalAverage="0" bottom="0" percent="0" rank="0" text="" dxfId="2">
      <formula>(E44-E45)&lt;0</formula>
    </cfRule>
  </conditionalFormatting>
  <conditionalFormatting sqref="E44">
    <cfRule type="expression" priority="41" aboveAverage="0" equalAverage="0" bottom="0" percent="0" rank="0" text="" dxfId="0">
      <formula>E44&gt;E45</formula>
    </cfRule>
    <cfRule type="expression" priority="42" aboveAverage="0" equalAverage="0" bottom="0" percent="0" rank="0" text="" dxfId="1">
      <formula>E44&lt;E45</formula>
    </cfRule>
  </conditionalFormatting>
  <conditionalFormatting sqref="I46:L46">
    <cfRule type="expression" priority="43" aboveAverage="0" equalAverage="0" bottom="0" percent="0" rank="0" text="" dxfId="2">
      <formula>(I44-I45)&lt;0</formula>
    </cfRule>
  </conditionalFormatting>
  <conditionalFormatting sqref="I44">
    <cfRule type="expression" priority="44" aboveAverage="0" equalAverage="0" bottom="0" percent="0" rank="0" text="" dxfId="0">
      <formula>I44&gt;I45</formula>
    </cfRule>
    <cfRule type="expression" priority="45" aboveAverage="0" equalAverage="0" bottom="0" percent="0" rank="0" text="" dxfId="1">
      <formula>I44&lt;I45</formula>
    </cfRule>
  </conditionalFormatting>
  <conditionalFormatting sqref="M46:P46">
    <cfRule type="expression" priority="46" aboveAverage="0" equalAverage="0" bottom="0" percent="0" rank="0" text="" dxfId="2">
      <formula>(M44-M45)&lt;0</formula>
    </cfRule>
  </conditionalFormatting>
  <conditionalFormatting sqref="M44">
    <cfRule type="expression" priority="47" aboveAverage="0" equalAverage="0" bottom="0" percent="0" rank="0" text="" dxfId="0">
      <formula>M44&gt;M45</formula>
    </cfRule>
    <cfRule type="expression" priority="48" aboveAverage="0" equalAverage="0" bottom="0" percent="0" rank="0" text="" dxfId="1">
      <formula>M44&lt;M45</formula>
    </cfRule>
  </conditionalFormatting>
  <conditionalFormatting sqref="D52:L52">
    <cfRule type="expression" priority="49" aboveAverage="0" equalAverage="0" bottom="0" percent="0" rank="0" text="" dxfId="0">
      <formula>D52&gt;D51</formula>
    </cfRule>
    <cfRule type="expression" priority="50" aboveAverage="0" equalAverage="0" bottom="0" percent="0" rank="0" text="" dxfId="1">
      <formula>D52&lt;D51</formula>
    </cfRule>
  </conditionalFormatting>
  <conditionalFormatting sqref="M52">
    <cfRule type="expression" priority="51" aboveAverage="0" equalAverage="0" bottom="0" percent="0" rank="0" text="" dxfId="0">
      <formula>M52&gt;M51</formula>
    </cfRule>
    <cfRule type="expression" priority="52" aboveAverage="0" equalAverage="0" bottom="0" percent="0" rank="0" text="" dxfId="1">
      <formula>M52&lt;M51</formula>
    </cfRule>
  </conditionalFormatting>
  <conditionalFormatting sqref="D55:L55">
    <cfRule type="expression" priority="53" aboveAverage="0" equalAverage="0" bottom="0" percent="0" rank="0" text="" dxfId="0">
      <formula>D55&gt;D54</formula>
    </cfRule>
    <cfRule type="expression" priority="54" aboveAverage="0" equalAverage="0" bottom="0" percent="0" rank="0" text="" dxfId="1">
      <formula>D55&lt;D54</formula>
    </cfRule>
  </conditionalFormatting>
  <conditionalFormatting sqref="M55">
    <cfRule type="expression" priority="55" aboveAverage="0" equalAverage="0" bottom="0" percent="0" rank="0" text="" dxfId="0">
      <formula>M55&gt;M54</formula>
    </cfRule>
    <cfRule type="expression" priority="56" aboveAverage="0" equalAverage="0" bottom="0" percent="0" rank="0" text="" dxfId="1">
      <formula>M55&lt;M54</formula>
    </cfRule>
  </conditionalFormatting>
  <conditionalFormatting sqref="D58:L58">
    <cfRule type="expression" priority="57" aboveAverage="0" equalAverage="0" bottom="0" percent="0" rank="0" text="" dxfId="0">
      <formula>D58&gt;D57</formula>
    </cfRule>
    <cfRule type="expression" priority="58" aboveAverage="0" equalAverage="0" bottom="0" percent="0" rank="0" text="" dxfId="1">
      <formula>D58&lt;D57</formula>
    </cfRule>
  </conditionalFormatting>
  <conditionalFormatting sqref="M58">
    <cfRule type="expression" priority="59" aboveAverage="0" equalAverage="0" bottom="0" percent="0" rank="0" text="" dxfId="0">
      <formula>M58&gt;M57</formula>
    </cfRule>
    <cfRule type="expression" priority="60" aboveAverage="0" equalAverage="0" bottom="0" percent="0" rank="0" text="" dxfId="1">
      <formula>M58&lt;M57</formula>
    </cfRule>
  </conditionalFormatting>
  <conditionalFormatting sqref="D61:L61">
    <cfRule type="expression" priority="61" aboveAverage="0" equalAverage="0" bottom="0" percent="0" rank="0" text="" dxfId="0">
      <formula>D61&gt;D60</formula>
    </cfRule>
    <cfRule type="expression" priority="62" aboveAverage="0" equalAverage="0" bottom="0" percent="0" rank="0" text="" dxfId="1">
      <formula>D61&lt;D60</formula>
    </cfRule>
  </conditionalFormatting>
  <conditionalFormatting sqref="M61">
    <cfRule type="expression" priority="63" aboveAverage="0" equalAverage="0" bottom="0" percent="0" rank="0" text="" dxfId="0">
      <formula>M61&gt;M60</formula>
    </cfRule>
    <cfRule type="expression" priority="64" aboveAverage="0" equalAverage="0" bottom="0" percent="0" rank="0" text="" dxfId="1">
      <formula>M61&lt;M60</formula>
    </cfRule>
  </conditionalFormatting>
  <conditionalFormatting sqref="C69:K69">
    <cfRule type="expression" priority="65" aboveAverage="0" equalAverage="0" bottom="0" percent="0" rank="0" text="" dxfId="0">
      <formula>C69&gt;C68</formula>
    </cfRule>
    <cfRule type="expression" priority="66" aboveAverage="0" equalAverage="0" bottom="0" percent="0" rank="0" text="" dxfId="1">
      <formula>C69&lt;C68</formula>
    </cfRule>
  </conditionalFormatting>
  <conditionalFormatting sqref="A79:P79">
    <cfRule type="expression" priority="67" aboveAverage="0" equalAverage="0" bottom="0" percent="0" rank="0" text="" dxfId="3">
      <formula>LEFT($A$79,1)="⚠"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9"/>
    <col collapsed="false" customWidth="true" hidden="false" outlineLevel="0" max="11" min="4" style="0" width="10"/>
    <col collapsed="false" customWidth="true" hidden="false" outlineLevel="0" max="12" min="12" style="0" width="11"/>
    <col collapsed="false" customWidth="true" hidden="false" outlineLevel="0" max="13" min="13" style="0" width="9"/>
  </cols>
  <sheetData>
    <row r="1" customFormat="false" ht="25.5" hidden="false" customHeight="true" outlineLevel="0" collapsed="false">
      <c r="A1" s="36" t="s">
        <v>50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customFormat="false" ht="15" hidden="false" customHeight="false" outlineLevel="0" collapsed="false">
      <c r="A2" s="2" t="str">
        <f aca="false">"ช่วง: 29 มิถุนายน – 26 กรกฎาคม 2569    |    สัปดาห์: 27–30    |    Revenue: ฿"&amp;TEXT(RevenueMonth,"#,##0.00")</f>
        <v>ช่วง: 29 มิถุนายน – 26 กรกฎาคม 2569    |    สัปดาห์: 27–30    |    Revenue: ฿5,927,657.11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A4" s="9" t="s">
        <v>51</v>
      </c>
      <c r="B4" s="9"/>
      <c r="C4" s="9"/>
      <c r="D4" s="9" t="s">
        <v>52</v>
      </c>
      <c r="E4" s="9"/>
      <c r="F4" s="9"/>
      <c r="G4" s="9" t="s">
        <v>53</v>
      </c>
      <c r="H4" s="9"/>
      <c r="I4" s="9"/>
      <c r="J4" s="9" t="s">
        <v>54</v>
      </c>
      <c r="K4" s="9"/>
      <c r="L4" s="9"/>
    </row>
    <row r="5" customFormat="false" ht="18.55" hidden="false" customHeight="false" outlineLevel="0" collapsed="false">
      <c r="A5" s="37" t="n">
        <f aca="false">SUMIFS(RawData!O2:O29,RawData!A2:A29,"&lt;"&amp;TodayDay)</f>
        <v>-196835.39</v>
      </c>
      <c r="B5" s="37"/>
      <c r="C5" s="37"/>
      <c r="D5" s="37" t="n">
        <f aca="false">SUMIFS(RawData!S2:S29,RawData!A2:A29,"&lt;"&amp;TodayDay)+SUMIFS(RawData!T2:T29,RawData!A2:A29,"&lt;"&amp;TodayDay)</f>
        <v>3722.038</v>
      </c>
      <c r="E5" s="37"/>
      <c r="F5" s="37"/>
      <c r="G5" s="37" t="n">
        <f aca="false">SUMIFS(RawData!W2:W29,RawData!A2:A29,"&lt;"&amp;TodayDay)</f>
        <v>-193113.352</v>
      </c>
      <c r="H5" s="37"/>
      <c r="I5" s="37"/>
      <c r="J5" s="38" t="n">
        <f aca="false">SUMIFS(RawData!W2:W29,RawData!A2:A29,"&lt;"&amp;TodayDay)/RevenueMonth</f>
        <v>-0.0325783607897356</v>
      </c>
      <c r="K5" s="38"/>
      <c r="L5" s="38"/>
    </row>
    <row r="6" customFormat="false" ht="15" hidden="false" customHeight="false" outlineLevel="0" collapsed="false">
      <c r="A6" s="12" t="n">
        <f aca="false">SUM(RawData!E2:E29)</f>
        <v>-485477.298</v>
      </c>
      <c r="B6" s="12"/>
      <c r="C6" s="12"/>
      <c r="D6" s="12" t="n">
        <f aca="false">SUM(RawData!I2:I29)+SUM(RawData!J2:J29)</f>
        <v>306.521068</v>
      </c>
      <c r="E6" s="12"/>
      <c r="F6" s="12"/>
      <c r="G6" s="12" t="n">
        <f aca="false">SUM(RawData!M2:M29)</f>
        <v>-482809.394472</v>
      </c>
      <c r="H6" s="12"/>
      <c r="I6" s="12"/>
      <c r="J6" s="13" t="n">
        <f aca="false">SUM(RawData!M2:M29)/RevenueMonth</f>
        <v>-0.081450290634397</v>
      </c>
      <c r="K6" s="13"/>
      <c r="L6" s="13"/>
    </row>
    <row r="8" customFormat="false" ht="15" hidden="false" customHeight="true" outlineLevel="0" collapsed="false">
      <c r="A8" s="16" t="s">
        <v>55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</row>
    <row r="9" customFormat="false" ht="19.4" hidden="false" customHeight="false" outlineLevel="0" collapsed="false">
      <c r="A9" s="19" t="s">
        <v>24</v>
      </c>
      <c r="B9" s="19" t="s">
        <v>56</v>
      </c>
      <c r="C9" s="19" t="s">
        <v>26</v>
      </c>
      <c r="D9" s="19" t="s">
        <v>15</v>
      </c>
      <c r="E9" s="19" t="s">
        <v>16</v>
      </c>
      <c r="F9" s="19" t="s">
        <v>17</v>
      </c>
      <c r="G9" s="19" t="s">
        <v>18</v>
      </c>
      <c r="H9" s="19" t="s">
        <v>19</v>
      </c>
      <c r="I9" s="19" t="s">
        <v>20</v>
      </c>
      <c r="J9" s="19" t="s">
        <v>21</v>
      </c>
      <c r="K9" s="19" t="s">
        <v>22</v>
      </c>
      <c r="L9" s="19" t="s">
        <v>27</v>
      </c>
      <c r="M9" s="19" t="s">
        <v>28</v>
      </c>
    </row>
    <row r="10" customFormat="false" ht="15" hidden="false" customHeight="false" outlineLevel="0" collapsed="false">
      <c r="A10" s="39" t="n">
        <v>27</v>
      </c>
      <c r="B10" s="40" t="s">
        <v>57</v>
      </c>
      <c r="C10" s="41" t="s">
        <v>30</v>
      </c>
      <c r="D10" s="42" t="n">
        <f aca="false">RawData!E2</f>
        <v>-24273.8649</v>
      </c>
      <c r="E10" s="42" t="n">
        <f aca="false">RawData!F2</f>
        <v>76.79918</v>
      </c>
      <c r="F10" s="42" t="n">
        <f aca="false">RawData!G2</f>
        <v>3.846154</v>
      </c>
      <c r="G10" s="42" t="n">
        <f aca="false">RawData!H2</f>
        <v>6.704117</v>
      </c>
      <c r="H10" s="42" t="n">
        <f aca="false">RawData!I2</f>
        <v>4.748597</v>
      </c>
      <c r="I10" s="42" t="n">
        <f aca="false">RawData!J2</f>
        <v>6.198584</v>
      </c>
      <c r="J10" s="42" t="n">
        <f aca="false">RawData!K2</f>
        <v>0</v>
      </c>
      <c r="K10" s="42" t="n">
        <f aca="false">RawData!L2</f>
        <v>0</v>
      </c>
      <c r="L10" s="43" t="n">
        <f aca="false">RawData!M2</f>
        <v>-24175.568268</v>
      </c>
      <c r="M10" s="44" t="n">
        <f aca="false">RawData!N2</f>
        <v>-0.114196</v>
      </c>
    </row>
    <row r="11" customFormat="false" ht="15" hidden="false" customHeight="false" outlineLevel="0" collapsed="false">
      <c r="A11" s="39"/>
      <c r="B11" s="40"/>
      <c r="C11" s="40" t="s">
        <v>31</v>
      </c>
      <c r="D11" s="43" t="n">
        <f aca="false">IF(RawData!A2&lt;TodayDay,RawData!O2,"")</f>
        <v>-20851.79</v>
      </c>
      <c r="E11" s="43" t="n">
        <f aca="false">IF(RawData!A2&lt;TodayDay,RawData!P2,"")</f>
        <v>0</v>
      </c>
      <c r="F11" s="43" t="n">
        <f aca="false">IF(RawData!A2&lt;TodayDay,RawData!Q2,"")</f>
        <v>0</v>
      </c>
      <c r="G11" s="43" t="n">
        <f aca="false">IF(RawData!A2&lt;TodayDay,RawData!R2,"")</f>
        <v>0</v>
      </c>
      <c r="H11" s="43" t="n">
        <f aca="false">IF(RawData!A2&lt;TodayDay,RawData!S2,"")</f>
        <v>0</v>
      </c>
      <c r="I11" s="43" t="n">
        <f aca="false">IF(RawData!A2&lt;TodayDay,RawData!T2,"")</f>
        <v>466.75</v>
      </c>
      <c r="J11" s="43" t="n">
        <f aca="false">IF(RawData!A2&lt;TodayDay,RawData!U2,"")</f>
        <v>0</v>
      </c>
      <c r="K11" s="43" t="n">
        <f aca="false">IF(RawData!A2&lt;TodayDay,RawData!V2,"")</f>
        <v>0</v>
      </c>
      <c r="L11" s="43" t="n">
        <f aca="false">IF(RawData!A2&lt;TodayDay,RawData!W2,"")</f>
        <v>-20385.04</v>
      </c>
      <c r="M11" s="44" t="n">
        <f aca="false">IF(RawData!A2&lt;TodayDay,RawData!X2,"")</f>
        <v>-0.096291</v>
      </c>
    </row>
    <row r="12" customFormat="false" ht="15" hidden="false" customHeight="false" outlineLevel="0" collapsed="false">
      <c r="A12" s="39"/>
      <c r="B12" s="40"/>
      <c r="C12" s="45" t="s">
        <v>32</v>
      </c>
      <c r="D12" s="43" t="n">
        <f aca="false">IF(RawData!A2&lt;TodayDay,D11-D10,"")</f>
        <v>3422.0749</v>
      </c>
      <c r="E12" s="43" t="n">
        <f aca="false">IF(RawData!A2&lt;TodayDay,E11-E10,"")</f>
        <v>-76.79918</v>
      </c>
      <c r="F12" s="43" t="n">
        <f aca="false">IF(RawData!A2&lt;TodayDay,F11-F10,"")</f>
        <v>-3.846154</v>
      </c>
      <c r="G12" s="43" t="n">
        <f aca="false">IF(RawData!A2&lt;TodayDay,G11-G10,"")</f>
        <v>-6.704117</v>
      </c>
      <c r="H12" s="43" t="n">
        <f aca="false">IF(RawData!A2&lt;TodayDay,H11-H10,"")</f>
        <v>-4.748597</v>
      </c>
      <c r="I12" s="43" t="n">
        <f aca="false">IF(RawData!A2&lt;TodayDay,I11-I10,"")</f>
        <v>460.551416</v>
      </c>
      <c r="J12" s="43" t="n">
        <f aca="false">IF(RawData!A2&lt;TodayDay,J11-J10,"")</f>
        <v>0</v>
      </c>
      <c r="K12" s="43" t="n">
        <f aca="false">IF(RawData!A2&lt;TodayDay,K11-K10,"")</f>
        <v>0</v>
      </c>
      <c r="L12" s="43" t="n">
        <f aca="false">IF(RawData!A2&lt;TodayDay,L11-L10,"")</f>
        <v>3790.528268</v>
      </c>
      <c r="M12" s="44" t="n">
        <f aca="false">IF(RawData!A2&lt;TodayDay,M11-M10,"")</f>
        <v>0.017905</v>
      </c>
    </row>
    <row r="13" customFormat="false" ht="15" hidden="false" customHeight="false" outlineLevel="0" collapsed="false">
      <c r="A13" s="39"/>
      <c r="B13" s="40" t="s">
        <v>58</v>
      </c>
      <c r="C13" s="41" t="s">
        <v>30</v>
      </c>
      <c r="D13" s="42" t="n">
        <f aca="false">RawData!E3</f>
        <v>-24273.8649</v>
      </c>
      <c r="E13" s="42" t="n">
        <f aca="false">RawData!F3</f>
        <v>76.79918</v>
      </c>
      <c r="F13" s="42" t="n">
        <f aca="false">RawData!G3</f>
        <v>3.846154</v>
      </c>
      <c r="G13" s="42" t="n">
        <f aca="false">RawData!H3</f>
        <v>6.704117</v>
      </c>
      <c r="H13" s="42" t="n">
        <f aca="false">RawData!I3</f>
        <v>4.748597</v>
      </c>
      <c r="I13" s="42" t="n">
        <f aca="false">RawData!J3</f>
        <v>6.198584</v>
      </c>
      <c r="J13" s="42" t="n">
        <f aca="false">RawData!K3</f>
        <v>0</v>
      </c>
      <c r="K13" s="42" t="n">
        <f aca="false">RawData!L3</f>
        <v>0</v>
      </c>
      <c r="L13" s="43" t="n">
        <f aca="false">RawData!M3</f>
        <v>-24175.568268</v>
      </c>
      <c r="M13" s="44" t="n">
        <f aca="false">RawData!N3</f>
        <v>-0.114196</v>
      </c>
    </row>
    <row r="14" customFormat="false" ht="15" hidden="false" customHeight="false" outlineLevel="0" collapsed="false">
      <c r="A14" s="39"/>
      <c r="B14" s="40"/>
      <c r="C14" s="40" t="s">
        <v>31</v>
      </c>
      <c r="D14" s="43" t="n">
        <f aca="false">IF(RawData!A3&lt;TodayDay,RawData!O3,"")</f>
        <v>-24862.39</v>
      </c>
      <c r="E14" s="43" t="n">
        <f aca="false">IF(RawData!A3&lt;TodayDay,RawData!P3,"")</f>
        <v>0</v>
      </c>
      <c r="F14" s="43" t="n">
        <f aca="false">IF(RawData!A3&lt;TodayDay,RawData!Q3,"")</f>
        <v>0</v>
      </c>
      <c r="G14" s="43" t="n">
        <f aca="false">IF(RawData!A3&lt;TodayDay,RawData!R3,"")</f>
        <v>0</v>
      </c>
      <c r="H14" s="43" t="n">
        <f aca="false">IF(RawData!A3&lt;TodayDay,RawData!S3,"")</f>
        <v>0</v>
      </c>
      <c r="I14" s="43" t="n">
        <f aca="false">IF(RawData!A3&lt;TodayDay,RawData!T3,"")</f>
        <v>941.23</v>
      </c>
      <c r="J14" s="43" t="n">
        <f aca="false">IF(RawData!A3&lt;TodayDay,RawData!U3,"")</f>
        <v>0</v>
      </c>
      <c r="K14" s="43" t="n">
        <f aca="false">IF(RawData!A3&lt;TodayDay,RawData!V3,"")</f>
        <v>0</v>
      </c>
      <c r="L14" s="43" t="n">
        <f aca="false">IF(RawData!A3&lt;TodayDay,RawData!W3,"")</f>
        <v>-23921.16</v>
      </c>
      <c r="M14" s="44" t="n">
        <f aca="false">IF(RawData!A3&lt;TodayDay,RawData!X3,"")</f>
        <v>-0.112994</v>
      </c>
    </row>
    <row r="15" customFormat="false" ht="15" hidden="false" customHeight="false" outlineLevel="0" collapsed="false">
      <c r="A15" s="39"/>
      <c r="B15" s="40"/>
      <c r="C15" s="45" t="s">
        <v>32</v>
      </c>
      <c r="D15" s="43" t="n">
        <f aca="false">IF(RawData!A3&lt;TodayDay,D14-D13,"")</f>
        <v>-588.525099999999</v>
      </c>
      <c r="E15" s="43" t="n">
        <f aca="false">IF(RawData!A3&lt;TodayDay,E14-E13,"")</f>
        <v>-76.79918</v>
      </c>
      <c r="F15" s="43" t="n">
        <f aca="false">IF(RawData!A3&lt;TodayDay,F14-F13,"")</f>
        <v>-3.846154</v>
      </c>
      <c r="G15" s="43" t="n">
        <f aca="false">IF(RawData!A3&lt;TodayDay,G14-G13,"")</f>
        <v>-6.704117</v>
      </c>
      <c r="H15" s="43" t="n">
        <f aca="false">IF(RawData!A3&lt;TodayDay,H14-H13,"")</f>
        <v>-4.748597</v>
      </c>
      <c r="I15" s="43" t="n">
        <f aca="false">IF(RawData!A3&lt;TodayDay,I14-I13,"")</f>
        <v>935.031416</v>
      </c>
      <c r="J15" s="43" t="n">
        <f aca="false">IF(RawData!A3&lt;TodayDay,J14-J13,"")</f>
        <v>0</v>
      </c>
      <c r="K15" s="43" t="n">
        <f aca="false">IF(RawData!A3&lt;TodayDay,K14-K13,"")</f>
        <v>0</v>
      </c>
      <c r="L15" s="43" t="n">
        <f aca="false">IF(RawData!A3&lt;TodayDay,L14-L13,"")</f>
        <v>254.408267999999</v>
      </c>
      <c r="M15" s="44" t="n">
        <f aca="false">IF(RawData!A3&lt;TodayDay,M14-M13,"")</f>
        <v>0.00120200000000001</v>
      </c>
    </row>
    <row r="16" customFormat="false" ht="15" hidden="false" customHeight="false" outlineLevel="0" collapsed="false">
      <c r="A16" s="39"/>
      <c r="B16" s="40" t="s">
        <v>59</v>
      </c>
      <c r="C16" s="41" t="s">
        <v>30</v>
      </c>
      <c r="D16" s="42" t="n">
        <f aca="false">RawData!E4</f>
        <v>-24273.8649</v>
      </c>
      <c r="E16" s="42" t="n">
        <f aca="false">RawData!F4</f>
        <v>76.79918</v>
      </c>
      <c r="F16" s="42" t="n">
        <f aca="false">RawData!G4</f>
        <v>3.846154</v>
      </c>
      <c r="G16" s="42" t="n">
        <f aca="false">RawData!H4</f>
        <v>6.704117</v>
      </c>
      <c r="H16" s="42" t="n">
        <f aca="false">RawData!I4</f>
        <v>4.748597</v>
      </c>
      <c r="I16" s="42" t="n">
        <f aca="false">RawData!J4</f>
        <v>6.198584</v>
      </c>
      <c r="J16" s="42" t="n">
        <f aca="false">RawData!K4</f>
        <v>0</v>
      </c>
      <c r="K16" s="42" t="n">
        <f aca="false">RawData!L4</f>
        <v>0</v>
      </c>
      <c r="L16" s="43" t="n">
        <f aca="false">RawData!M4</f>
        <v>-24175.568268</v>
      </c>
      <c r="M16" s="44" t="n">
        <f aca="false">RawData!N4</f>
        <v>-0.114196</v>
      </c>
    </row>
    <row r="17" customFormat="false" ht="15" hidden="false" customHeight="false" outlineLevel="0" collapsed="false">
      <c r="A17" s="39"/>
      <c r="B17" s="40"/>
      <c r="C17" s="40" t="s">
        <v>31</v>
      </c>
      <c r="D17" s="43" t="n">
        <f aca="false">IF(RawData!A4&lt;TodayDay,RawData!O4,"")</f>
        <v>-20035.23</v>
      </c>
      <c r="E17" s="43" t="n">
        <f aca="false">IF(RawData!A4&lt;TodayDay,RawData!P4,"")</f>
        <v>0</v>
      </c>
      <c r="F17" s="43" t="n">
        <f aca="false">IF(RawData!A4&lt;TodayDay,RawData!Q4,"")</f>
        <v>0</v>
      </c>
      <c r="G17" s="43" t="n">
        <f aca="false">IF(RawData!A4&lt;TodayDay,RawData!R4,"")</f>
        <v>0</v>
      </c>
      <c r="H17" s="43" t="n">
        <f aca="false">IF(RawData!A4&lt;TodayDay,RawData!S4,"")</f>
        <v>0</v>
      </c>
      <c r="I17" s="43" t="n">
        <f aca="false">IF(RawData!A4&lt;TodayDay,RawData!T4,"")</f>
        <v>60.37</v>
      </c>
      <c r="J17" s="43" t="n">
        <f aca="false">IF(RawData!A4&lt;TodayDay,RawData!U4,"")</f>
        <v>0</v>
      </c>
      <c r="K17" s="43" t="n">
        <f aca="false">IF(RawData!A4&lt;TodayDay,RawData!V4,"")</f>
        <v>0</v>
      </c>
      <c r="L17" s="43" t="n">
        <f aca="false">IF(RawData!A4&lt;TodayDay,RawData!W4,"")</f>
        <v>-19974.86</v>
      </c>
      <c r="M17" s="44" t="n">
        <f aca="false">IF(RawData!A4&lt;TodayDay,RawData!X4,"")</f>
        <v>-0.094354</v>
      </c>
    </row>
    <row r="18" customFormat="false" ht="15" hidden="false" customHeight="false" outlineLevel="0" collapsed="false">
      <c r="A18" s="39"/>
      <c r="B18" s="40"/>
      <c r="C18" s="45" t="s">
        <v>32</v>
      </c>
      <c r="D18" s="43" t="n">
        <f aca="false">IF(RawData!A4&lt;TodayDay,D17-D16,"")</f>
        <v>4238.6349</v>
      </c>
      <c r="E18" s="43" t="n">
        <f aca="false">IF(RawData!A4&lt;TodayDay,E17-E16,"")</f>
        <v>-76.79918</v>
      </c>
      <c r="F18" s="43" t="n">
        <f aca="false">IF(RawData!A4&lt;TodayDay,F17-F16,"")</f>
        <v>-3.846154</v>
      </c>
      <c r="G18" s="43" t="n">
        <f aca="false">IF(RawData!A4&lt;TodayDay,G17-G16,"")</f>
        <v>-6.704117</v>
      </c>
      <c r="H18" s="43" t="n">
        <f aca="false">IF(RawData!A4&lt;TodayDay,H17-H16,"")</f>
        <v>-4.748597</v>
      </c>
      <c r="I18" s="43" t="n">
        <f aca="false">IF(RawData!A4&lt;TodayDay,I17-I16,"")</f>
        <v>54.171416</v>
      </c>
      <c r="J18" s="43" t="n">
        <f aca="false">IF(RawData!A4&lt;TodayDay,J17-J16,"")</f>
        <v>0</v>
      </c>
      <c r="K18" s="43" t="n">
        <f aca="false">IF(RawData!A4&lt;TodayDay,K17-K16,"")</f>
        <v>0</v>
      </c>
      <c r="L18" s="43" t="n">
        <f aca="false">IF(RawData!A4&lt;TodayDay,L17-L16,"")</f>
        <v>4200.708268</v>
      </c>
      <c r="M18" s="44" t="n">
        <f aca="false">IF(RawData!A4&lt;TodayDay,M17-M16,"")</f>
        <v>0.019842</v>
      </c>
    </row>
    <row r="19" customFormat="false" ht="15" hidden="false" customHeight="false" outlineLevel="0" collapsed="false">
      <c r="A19" s="39"/>
      <c r="B19" s="40" t="s">
        <v>60</v>
      </c>
      <c r="C19" s="41" t="s">
        <v>30</v>
      </c>
      <c r="D19" s="42" t="n">
        <f aca="false">RawData!E5</f>
        <v>-24273.8649</v>
      </c>
      <c r="E19" s="42" t="n">
        <f aca="false">RawData!F5</f>
        <v>76.79918</v>
      </c>
      <c r="F19" s="42" t="n">
        <f aca="false">RawData!G5</f>
        <v>3.846154</v>
      </c>
      <c r="G19" s="42" t="n">
        <f aca="false">RawData!H5</f>
        <v>6.704117</v>
      </c>
      <c r="H19" s="42" t="n">
        <f aca="false">RawData!I5</f>
        <v>4.748597</v>
      </c>
      <c r="I19" s="42" t="n">
        <f aca="false">RawData!J5</f>
        <v>6.198584</v>
      </c>
      <c r="J19" s="42" t="n">
        <f aca="false">RawData!K5</f>
        <v>0</v>
      </c>
      <c r="K19" s="42" t="n">
        <f aca="false">RawData!L5</f>
        <v>0</v>
      </c>
      <c r="L19" s="43" t="n">
        <f aca="false">RawData!M5</f>
        <v>-24175.568268</v>
      </c>
      <c r="M19" s="44" t="n">
        <f aca="false">RawData!N5</f>
        <v>-0.114196</v>
      </c>
    </row>
    <row r="20" customFormat="false" ht="15" hidden="false" customHeight="false" outlineLevel="0" collapsed="false">
      <c r="A20" s="39"/>
      <c r="B20" s="40"/>
      <c r="C20" s="40" t="s">
        <v>31</v>
      </c>
      <c r="D20" s="43" t="n">
        <f aca="false">IF(RawData!A5&lt;TodayDay,RawData!O5,"")</f>
        <v>-26264.32</v>
      </c>
      <c r="E20" s="43" t="n">
        <f aca="false">IF(RawData!A5&lt;TodayDay,RawData!P5,"")</f>
        <v>0</v>
      </c>
      <c r="F20" s="43" t="n">
        <f aca="false">IF(RawData!A5&lt;TodayDay,RawData!Q5,"")</f>
        <v>0</v>
      </c>
      <c r="G20" s="43" t="n">
        <f aca="false">IF(RawData!A5&lt;TodayDay,RawData!R5,"")</f>
        <v>0</v>
      </c>
      <c r="H20" s="43" t="n">
        <f aca="false">IF(RawData!A5&lt;TodayDay,RawData!S5,"")</f>
        <v>0</v>
      </c>
      <c r="I20" s="43" t="n">
        <f aca="false">IF(RawData!A5&lt;TodayDay,RawData!T5,"")</f>
        <v>216.3</v>
      </c>
      <c r="J20" s="43" t="n">
        <f aca="false">IF(RawData!A5&lt;TodayDay,RawData!U5,"")</f>
        <v>0</v>
      </c>
      <c r="K20" s="43" t="n">
        <f aca="false">IF(RawData!A5&lt;TodayDay,RawData!V5,"")</f>
        <v>0</v>
      </c>
      <c r="L20" s="43" t="n">
        <f aca="false">IF(RawData!A5&lt;TodayDay,RawData!W5,"")</f>
        <v>-26048.02</v>
      </c>
      <c r="M20" s="44" t="n">
        <f aca="false">IF(RawData!A5&lt;TodayDay,RawData!X5,"")</f>
        <v>-0.123041</v>
      </c>
    </row>
    <row r="21" customFormat="false" ht="15" hidden="false" customHeight="false" outlineLevel="0" collapsed="false">
      <c r="A21" s="39"/>
      <c r="B21" s="40"/>
      <c r="C21" s="45" t="s">
        <v>32</v>
      </c>
      <c r="D21" s="43" t="n">
        <f aca="false">IF(RawData!A5&lt;TodayDay,D20-D19,"")</f>
        <v>-1990.4551</v>
      </c>
      <c r="E21" s="43" t="n">
        <f aca="false">IF(RawData!A5&lt;TodayDay,E20-E19,"")</f>
        <v>-76.79918</v>
      </c>
      <c r="F21" s="43" t="n">
        <f aca="false">IF(RawData!A5&lt;TodayDay,F20-F19,"")</f>
        <v>-3.846154</v>
      </c>
      <c r="G21" s="43" t="n">
        <f aca="false">IF(RawData!A5&lt;TodayDay,G20-G19,"")</f>
        <v>-6.704117</v>
      </c>
      <c r="H21" s="43" t="n">
        <f aca="false">IF(RawData!A5&lt;TodayDay,H20-H19,"")</f>
        <v>-4.748597</v>
      </c>
      <c r="I21" s="43" t="n">
        <f aca="false">IF(RawData!A5&lt;TodayDay,I20-I19,"")</f>
        <v>210.101416</v>
      </c>
      <c r="J21" s="43" t="n">
        <f aca="false">IF(RawData!A5&lt;TodayDay,J20-J19,"")</f>
        <v>0</v>
      </c>
      <c r="K21" s="43" t="n">
        <f aca="false">IF(RawData!A5&lt;TodayDay,K20-K19,"")</f>
        <v>0</v>
      </c>
      <c r="L21" s="43" t="n">
        <f aca="false">IF(RawData!A5&lt;TodayDay,L20-L19,"")</f>
        <v>-1872.451732</v>
      </c>
      <c r="M21" s="44" t="n">
        <f aca="false">IF(RawData!A5&lt;TodayDay,M20-M19,"")</f>
        <v>-0.00884499999999999</v>
      </c>
    </row>
    <row r="22" customFormat="false" ht="15" hidden="false" customHeight="false" outlineLevel="0" collapsed="false">
      <c r="A22" s="39"/>
      <c r="B22" s="40" t="s">
        <v>61</v>
      </c>
      <c r="C22" s="41" t="s">
        <v>30</v>
      </c>
      <c r="D22" s="42" t="n">
        <f aca="false">RawData!E6</f>
        <v>-24273.8649</v>
      </c>
      <c r="E22" s="42" t="n">
        <f aca="false">RawData!F6</f>
        <v>76.79918</v>
      </c>
      <c r="F22" s="42" t="n">
        <f aca="false">RawData!G6</f>
        <v>3.846154</v>
      </c>
      <c r="G22" s="42" t="n">
        <f aca="false">RawData!H6</f>
        <v>6.704117</v>
      </c>
      <c r="H22" s="42" t="n">
        <f aca="false">RawData!I6</f>
        <v>4.748597</v>
      </c>
      <c r="I22" s="42" t="n">
        <f aca="false">RawData!J6</f>
        <v>6.198584</v>
      </c>
      <c r="J22" s="42" t="n">
        <f aca="false">RawData!K6</f>
        <v>0</v>
      </c>
      <c r="K22" s="42" t="n">
        <f aca="false">RawData!L6</f>
        <v>0</v>
      </c>
      <c r="L22" s="43" t="n">
        <f aca="false">RawData!M6</f>
        <v>-24175.568268</v>
      </c>
      <c r="M22" s="44" t="n">
        <f aca="false">RawData!N6</f>
        <v>-0.114196</v>
      </c>
    </row>
    <row r="23" customFormat="false" ht="15" hidden="false" customHeight="false" outlineLevel="0" collapsed="false">
      <c r="A23" s="39"/>
      <c r="B23" s="40"/>
      <c r="C23" s="40" t="s">
        <v>31</v>
      </c>
      <c r="D23" s="43" t="n">
        <f aca="false">IF(RawData!A6&lt;TodayDay,RawData!O6,"")</f>
        <v>-22096.89</v>
      </c>
      <c r="E23" s="43" t="n">
        <f aca="false">IF(RawData!A6&lt;TodayDay,RawData!P6,"")</f>
        <v>0</v>
      </c>
      <c r="F23" s="43" t="n">
        <f aca="false">IF(RawData!A6&lt;TodayDay,RawData!Q6,"")</f>
        <v>0</v>
      </c>
      <c r="G23" s="43" t="n">
        <f aca="false">IF(RawData!A6&lt;TodayDay,RawData!R6,"")</f>
        <v>0</v>
      </c>
      <c r="H23" s="43" t="n">
        <f aca="false">IF(RawData!A6&lt;TodayDay,RawData!S6,"")</f>
        <v>0</v>
      </c>
      <c r="I23" s="43" t="n">
        <f aca="false">IF(RawData!A6&lt;TodayDay,RawData!T6,"")</f>
        <v>37.558</v>
      </c>
      <c r="J23" s="43" t="n">
        <f aca="false">IF(RawData!A6&lt;TodayDay,RawData!U6,"")</f>
        <v>0</v>
      </c>
      <c r="K23" s="43" t="n">
        <f aca="false">IF(RawData!A6&lt;TodayDay,RawData!V6,"")</f>
        <v>0</v>
      </c>
      <c r="L23" s="43" t="n">
        <f aca="false">IF(RawData!A6&lt;TodayDay,RawData!W6,"")</f>
        <v>-22059.332</v>
      </c>
      <c r="M23" s="44" t="n">
        <f aca="false">IF(RawData!A6&lt;TodayDay,RawData!X6,"")</f>
        <v>-0.1042</v>
      </c>
    </row>
    <row r="24" customFormat="false" ht="15" hidden="false" customHeight="false" outlineLevel="0" collapsed="false">
      <c r="A24" s="39"/>
      <c r="B24" s="40"/>
      <c r="C24" s="45" t="s">
        <v>32</v>
      </c>
      <c r="D24" s="43" t="n">
        <f aca="false">IF(RawData!A6&lt;TodayDay,D23-D22,"")</f>
        <v>2176.9749</v>
      </c>
      <c r="E24" s="43" t="n">
        <f aca="false">IF(RawData!A6&lt;TodayDay,E23-E22,"")</f>
        <v>-76.79918</v>
      </c>
      <c r="F24" s="43" t="n">
        <f aca="false">IF(RawData!A6&lt;TodayDay,F23-F22,"")</f>
        <v>-3.846154</v>
      </c>
      <c r="G24" s="43" t="n">
        <f aca="false">IF(RawData!A6&lt;TodayDay,G23-G22,"")</f>
        <v>-6.704117</v>
      </c>
      <c r="H24" s="43" t="n">
        <f aca="false">IF(RawData!A6&lt;TodayDay,H23-H22,"")</f>
        <v>-4.748597</v>
      </c>
      <c r="I24" s="43" t="n">
        <f aca="false">IF(RawData!A6&lt;TodayDay,I23-I22,"")</f>
        <v>31.359416</v>
      </c>
      <c r="J24" s="43" t="n">
        <f aca="false">IF(RawData!A6&lt;TodayDay,J23-J22,"")</f>
        <v>0</v>
      </c>
      <c r="K24" s="43" t="n">
        <f aca="false">IF(RawData!A6&lt;TodayDay,K23-K22,"")</f>
        <v>0</v>
      </c>
      <c r="L24" s="43" t="n">
        <f aca="false">IF(RawData!A6&lt;TodayDay,L23-L22,"")</f>
        <v>2116.236268</v>
      </c>
      <c r="M24" s="44" t="n">
        <f aca="false">IF(RawData!A6&lt;TodayDay,M23-M22,"")</f>
        <v>0.00999600000000001</v>
      </c>
    </row>
    <row r="25" customFormat="false" ht="15" hidden="false" customHeight="false" outlineLevel="0" collapsed="false">
      <c r="A25" s="39"/>
      <c r="B25" s="46" t="s">
        <v>62</v>
      </c>
      <c r="C25" s="47" t="s">
        <v>30</v>
      </c>
      <c r="D25" s="48" t="n">
        <f aca="false">RawData!E7</f>
        <v>0</v>
      </c>
      <c r="E25" s="48" t="n">
        <f aca="false">RawData!F7</f>
        <v>76.79918</v>
      </c>
      <c r="F25" s="48" t="n">
        <f aca="false">RawData!G7</f>
        <v>0</v>
      </c>
      <c r="G25" s="48" t="n">
        <f aca="false">RawData!H7</f>
        <v>0</v>
      </c>
      <c r="H25" s="48" t="n">
        <f aca="false">RawData!I7</f>
        <v>4.748597</v>
      </c>
      <c r="I25" s="48" t="n">
        <f aca="false">RawData!J7</f>
        <v>6.198584</v>
      </c>
      <c r="J25" s="48" t="n">
        <f aca="false">RawData!K7</f>
        <v>0</v>
      </c>
      <c r="K25" s="48" t="n">
        <f aca="false">RawData!L7</f>
        <v>0</v>
      </c>
      <c r="L25" s="49" t="n">
        <f aca="false">RawData!M7</f>
        <v>87.746361</v>
      </c>
      <c r="M25" s="50" t="n">
        <f aca="false">RawData!N7</f>
        <v>0.000414</v>
      </c>
    </row>
    <row r="26" customFormat="false" ht="15" hidden="false" customHeight="false" outlineLevel="0" collapsed="false">
      <c r="A26" s="39"/>
      <c r="B26" s="46"/>
      <c r="C26" s="46" t="s">
        <v>31</v>
      </c>
      <c r="D26" s="49" t="n">
        <f aca="false">IF(RawData!A7&lt;TodayDay,RawData!O7,"")</f>
        <v>0</v>
      </c>
      <c r="E26" s="49" t="n">
        <f aca="false">IF(RawData!A7&lt;TodayDay,RawData!P7,"")</f>
        <v>0</v>
      </c>
      <c r="F26" s="49" t="n">
        <f aca="false">IF(RawData!A7&lt;TodayDay,RawData!Q7,"")</f>
        <v>0</v>
      </c>
      <c r="G26" s="49" t="n">
        <f aca="false">IF(RawData!A7&lt;TodayDay,RawData!R7,"")</f>
        <v>0</v>
      </c>
      <c r="H26" s="49" t="n">
        <f aca="false">IF(RawData!A7&lt;TodayDay,RawData!S7,"")</f>
        <v>0</v>
      </c>
      <c r="I26" s="49" t="n">
        <f aca="false">IF(RawData!A7&lt;TodayDay,RawData!T7,"")</f>
        <v>0</v>
      </c>
      <c r="J26" s="49" t="n">
        <f aca="false">IF(RawData!A7&lt;TodayDay,RawData!U7,"")</f>
        <v>0</v>
      </c>
      <c r="K26" s="49" t="n">
        <f aca="false">IF(RawData!A7&lt;TodayDay,RawData!V7,"")</f>
        <v>0</v>
      </c>
      <c r="L26" s="49" t="n">
        <f aca="false">IF(RawData!A7&lt;TodayDay,RawData!W7,"")</f>
        <v>0</v>
      </c>
      <c r="M26" s="50" t="n">
        <f aca="false">IF(RawData!A7&lt;TodayDay,RawData!X7,"")</f>
        <v>0</v>
      </c>
    </row>
    <row r="27" customFormat="false" ht="15" hidden="false" customHeight="false" outlineLevel="0" collapsed="false">
      <c r="A27" s="39"/>
      <c r="B27" s="46"/>
      <c r="C27" s="51" t="s">
        <v>32</v>
      </c>
      <c r="D27" s="49" t="n">
        <f aca="false">IF(RawData!A7&lt;TodayDay,D26-D25,"")</f>
        <v>0</v>
      </c>
      <c r="E27" s="49" t="n">
        <f aca="false">IF(RawData!A7&lt;TodayDay,E26-E25,"")</f>
        <v>-76.79918</v>
      </c>
      <c r="F27" s="49" t="n">
        <f aca="false">IF(RawData!A7&lt;TodayDay,F26-F25,"")</f>
        <v>0</v>
      </c>
      <c r="G27" s="49" t="n">
        <f aca="false">IF(RawData!A7&lt;TodayDay,G26-G25,"")</f>
        <v>0</v>
      </c>
      <c r="H27" s="49" t="n">
        <f aca="false">IF(RawData!A7&lt;TodayDay,H26-H25,"")</f>
        <v>-4.748597</v>
      </c>
      <c r="I27" s="49" t="n">
        <f aca="false">IF(RawData!A7&lt;TodayDay,I26-I25,"")</f>
        <v>-6.198584</v>
      </c>
      <c r="J27" s="49" t="n">
        <f aca="false">IF(RawData!A7&lt;TodayDay,J26-J25,"")</f>
        <v>0</v>
      </c>
      <c r="K27" s="49" t="n">
        <f aca="false">IF(RawData!A7&lt;TodayDay,K26-K25,"")</f>
        <v>0</v>
      </c>
      <c r="L27" s="49" t="n">
        <f aca="false">IF(RawData!A7&lt;TodayDay,L26-L25,"")</f>
        <v>-87.746361</v>
      </c>
      <c r="M27" s="50" t="n">
        <f aca="false">IF(RawData!A7&lt;TodayDay,M26-M25,"")</f>
        <v>-0.000414</v>
      </c>
    </row>
    <row r="28" customFormat="false" ht="15" hidden="false" customHeight="false" outlineLevel="0" collapsed="false">
      <c r="A28" s="39"/>
      <c r="B28" s="46" t="s">
        <v>63</v>
      </c>
      <c r="C28" s="47" t="s">
        <v>30</v>
      </c>
      <c r="D28" s="48" t="n">
        <f aca="false">RawData!E8</f>
        <v>0</v>
      </c>
      <c r="E28" s="48" t="n">
        <f aca="false">RawData!F8</f>
        <v>76.79918</v>
      </c>
      <c r="F28" s="48" t="n">
        <f aca="false">RawData!G8</f>
        <v>0</v>
      </c>
      <c r="G28" s="48" t="n">
        <f aca="false">RawData!H8</f>
        <v>0</v>
      </c>
      <c r="H28" s="48" t="n">
        <f aca="false">RawData!I8</f>
        <v>4.748597</v>
      </c>
      <c r="I28" s="48" t="n">
        <f aca="false">RawData!J8</f>
        <v>6.198584</v>
      </c>
      <c r="J28" s="48" t="n">
        <f aca="false">RawData!K8</f>
        <v>0</v>
      </c>
      <c r="K28" s="48" t="n">
        <f aca="false">RawData!L8</f>
        <v>0</v>
      </c>
      <c r="L28" s="49" t="n">
        <f aca="false">RawData!M8</f>
        <v>87.746361</v>
      </c>
      <c r="M28" s="50" t="n">
        <f aca="false">RawData!N8</f>
        <v>0.000414</v>
      </c>
    </row>
    <row r="29" customFormat="false" ht="15" hidden="false" customHeight="false" outlineLevel="0" collapsed="false">
      <c r="A29" s="39"/>
      <c r="B29" s="46"/>
      <c r="C29" s="46" t="s">
        <v>31</v>
      </c>
      <c r="D29" s="49" t="n">
        <f aca="false">IF(RawData!A8&lt;TodayDay,RawData!O8,"")</f>
        <v>0</v>
      </c>
      <c r="E29" s="49" t="n">
        <f aca="false">IF(RawData!A8&lt;TodayDay,RawData!P8,"")</f>
        <v>0</v>
      </c>
      <c r="F29" s="49" t="n">
        <f aca="false">IF(RawData!A8&lt;TodayDay,RawData!Q8,"")</f>
        <v>0</v>
      </c>
      <c r="G29" s="49" t="n">
        <f aca="false">IF(RawData!A8&lt;TodayDay,RawData!R8,"")</f>
        <v>0</v>
      </c>
      <c r="H29" s="49" t="n">
        <f aca="false">IF(RawData!A8&lt;TodayDay,RawData!S8,"")</f>
        <v>0</v>
      </c>
      <c r="I29" s="49" t="n">
        <f aca="false">IF(RawData!A8&lt;TodayDay,RawData!T8,"")</f>
        <v>0</v>
      </c>
      <c r="J29" s="49" t="n">
        <f aca="false">IF(RawData!A8&lt;TodayDay,RawData!U8,"")</f>
        <v>0</v>
      </c>
      <c r="K29" s="49" t="n">
        <f aca="false">IF(RawData!A8&lt;TodayDay,RawData!V8,"")</f>
        <v>0</v>
      </c>
      <c r="L29" s="49" t="n">
        <f aca="false">IF(RawData!A8&lt;TodayDay,RawData!W8,"")</f>
        <v>0</v>
      </c>
      <c r="M29" s="50" t="n">
        <f aca="false">IF(RawData!A8&lt;TodayDay,RawData!X8,"")</f>
        <v>0</v>
      </c>
    </row>
    <row r="30" customFormat="false" ht="15" hidden="false" customHeight="false" outlineLevel="0" collapsed="false">
      <c r="A30" s="39"/>
      <c r="B30" s="46"/>
      <c r="C30" s="51" t="s">
        <v>32</v>
      </c>
      <c r="D30" s="49" t="n">
        <f aca="false">IF(RawData!A8&lt;TodayDay,D29-D28,"")</f>
        <v>0</v>
      </c>
      <c r="E30" s="49" t="n">
        <f aca="false">IF(RawData!A8&lt;TodayDay,E29-E28,"")</f>
        <v>-76.79918</v>
      </c>
      <c r="F30" s="49" t="n">
        <f aca="false">IF(RawData!A8&lt;TodayDay,F29-F28,"")</f>
        <v>0</v>
      </c>
      <c r="G30" s="49" t="n">
        <f aca="false">IF(RawData!A8&lt;TodayDay,G29-G28,"")</f>
        <v>0</v>
      </c>
      <c r="H30" s="49" t="n">
        <f aca="false">IF(RawData!A8&lt;TodayDay,H29-H28,"")</f>
        <v>-4.748597</v>
      </c>
      <c r="I30" s="49" t="n">
        <f aca="false">IF(RawData!A8&lt;TodayDay,I29-I28,"")</f>
        <v>-6.198584</v>
      </c>
      <c r="J30" s="49" t="n">
        <f aca="false">IF(RawData!A8&lt;TodayDay,J29-J28,"")</f>
        <v>0</v>
      </c>
      <c r="K30" s="49" t="n">
        <f aca="false">IF(RawData!A8&lt;TodayDay,K29-K28,"")</f>
        <v>0</v>
      </c>
      <c r="L30" s="49" t="n">
        <f aca="false">IF(RawData!A8&lt;TodayDay,L29-L28,"")</f>
        <v>-87.746361</v>
      </c>
      <c r="M30" s="50" t="n">
        <f aca="false">IF(RawData!A8&lt;TodayDay,M29-M28,"")</f>
        <v>-0.000414</v>
      </c>
    </row>
    <row r="31" customFormat="false" ht="15" hidden="false" customHeight="false" outlineLevel="0" collapsed="false">
      <c r="A31" s="39" t="n">
        <v>28</v>
      </c>
      <c r="B31" s="40" t="s">
        <v>64</v>
      </c>
      <c r="C31" s="41" t="s">
        <v>30</v>
      </c>
      <c r="D31" s="42" t="n">
        <f aca="false">RawData!E9</f>
        <v>-24273.8649</v>
      </c>
      <c r="E31" s="42" t="n">
        <f aca="false">RawData!F9</f>
        <v>76.79918</v>
      </c>
      <c r="F31" s="42" t="n">
        <f aca="false">RawData!G9</f>
        <v>3.846154</v>
      </c>
      <c r="G31" s="42" t="n">
        <f aca="false">RawData!H9</f>
        <v>6.704117</v>
      </c>
      <c r="H31" s="42" t="n">
        <f aca="false">RawData!I9</f>
        <v>4.748597</v>
      </c>
      <c r="I31" s="42" t="n">
        <f aca="false">RawData!J9</f>
        <v>6.198584</v>
      </c>
      <c r="J31" s="42" t="n">
        <f aca="false">RawData!K9</f>
        <v>0</v>
      </c>
      <c r="K31" s="42" t="n">
        <f aca="false">RawData!L9</f>
        <v>0</v>
      </c>
      <c r="L31" s="43" t="n">
        <f aca="false">RawData!M9</f>
        <v>-24175.568268</v>
      </c>
      <c r="M31" s="44" t="n">
        <f aca="false">RawData!N9</f>
        <v>-0.114196</v>
      </c>
    </row>
    <row r="32" customFormat="false" ht="15" hidden="false" customHeight="false" outlineLevel="0" collapsed="false">
      <c r="A32" s="39"/>
      <c r="B32" s="40"/>
      <c r="C32" s="40" t="s">
        <v>31</v>
      </c>
      <c r="D32" s="43" t="n">
        <f aca="false">IF(RawData!A9&lt;TodayDay,RawData!O9,"")</f>
        <v>-20115.58</v>
      </c>
      <c r="E32" s="43" t="n">
        <f aca="false">IF(RawData!A9&lt;TodayDay,RawData!P9,"")</f>
        <v>0</v>
      </c>
      <c r="F32" s="43" t="n">
        <f aca="false">IF(RawData!A9&lt;TodayDay,RawData!Q9,"")</f>
        <v>0</v>
      </c>
      <c r="G32" s="43" t="n">
        <f aca="false">IF(RawData!A9&lt;TodayDay,RawData!R9,"")</f>
        <v>0</v>
      </c>
      <c r="H32" s="43" t="n">
        <f aca="false">IF(RawData!A9&lt;TodayDay,RawData!S9,"")</f>
        <v>0</v>
      </c>
      <c r="I32" s="43" t="n">
        <f aca="false">IF(RawData!A9&lt;TodayDay,RawData!T9,"")</f>
        <v>1280.26</v>
      </c>
      <c r="J32" s="43" t="n">
        <f aca="false">IF(RawData!A9&lt;TodayDay,RawData!U9,"")</f>
        <v>0</v>
      </c>
      <c r="K32" s="43" t="n">
        <f aca="false">IF(RawData!A9&lt;TodayDay,RawData!V9,"")</f>
        <v>0</v>
      </c>
      <c r="L32" s="43" t="n">
        <f aca="false">IF(RawData!A9&lt;TodayDay,RawData!W9,"")</f>
        <v>-18835.32</v>
      </c>
      <c r="M32" s="44" t="n">
        <f aca="false">IF(RawData!A9&lt;TodayDay,RawData!X9,"")</f>
        <v>-0.088971</v>
      </c>
    </row>
    <row r="33" customFormat="false" ht="15" hidden="false" customHeight="false" outlineLevel="0" collapsed="false">
      <c r="A33" s="39"/>
      <c r="B33" s="40"/>
      <c r="C33" s="45" t="s">
        <v>32</v>
      </c>
      <c r="D33" s="43" t="n">
        <f aca="false">IF(RawData!A9&lt;TodayDay,D32-D31,"")</f>
        <v>4158.2849</v>
      </c>
      <c r="E33" s="43" t="n">
        <f aca="false">IF(RawData!A9&lt;TodayDay,E32-E31,"")</f>
        <v>-76.79918</v>
      </c>
      <c r="F33" s="43" t="n">
        <f aca="false">IF(RawData!A9&lt;TodayDay,F32-F31,"")</f>
        <v>-3.846154</v>
      </c>
      <c r="G33" s="43" t="n">
        <f aca="false">IF(RawData!A9&lt;TodayDay,G32-G31,"")</f>
        <v>-6.704117</v>
      </c>
      <c r="H33" s="43" t="n">
        <f aca="false">IF(RawData!A9&lt;TodayDay,H32-H31,"")</f>
        <v>-4.748597</v>
      </c>
      <c r="I33" s="43" t="n">
        <f aca="false">IF(RawData!A9&lt;TodayDay,I32-I31,"")</f>
        <v>1274.061416</v>
      </c>
      <c r="J33" s="43" t="n">
        <f aca="false">IF(RawData!A9&lt;TodayDay,J32-J31,"")</f>
        <v>0</v>
      </c>
      <c r="K33" s="43" t="n">
        <f aca="false">IF(RawData!A9&lt;TodayDay,K32-K31,"")</f>
        <v>0</v>
      </c>
      <c r="L33" s="43" t="n">
        <f aca="false">IF(RawData!A9&lt;TodayDay,L32-L31,"")</f>
        <v>5340.248268</v>
      </c>
      <c r="M33" s="44" t="n">
        <f aca="false">IF(RawData!A9&lt;TodayDay,M32-M31,"")</f>
        <v>0.025225</v>
      </c>
    </row>
    <row r="34" customFormat="false" ht="15" hidden="false" customHeight="false" outlineLevel="0" collapsed="false">
      <c r="A34" s="39"/>
      <c r="B34" s="40" t="s">
        <v>65</v>
      </c>
      <c r="C34" s="41" t="s">
        <v>30</v>
      </c>
      <c r="D34" s="42" t="n">
        <f aca="false">RawData!E10</f>
        <v>-24273.8649</v>
      </c>
      <c r="E34" s="42" t="n">
        <f aca="false">RawData!F10</f>
        <v>76.79918</v>
      </c>
      <c r="F34" s="42" t="n">
        <f aca="false">RawData!G10</f>
        <v>3.846154</v>
      </c>
      <c r="G34" s="42" t="n">
        <f aca="false">RawData!H10</f>
        <v>6.704117</v>
      </c>
      <c r="H34" s="42" t="n">
        <f aca="false">RawData!I10</f>
        <v>4.748597</v>
      </c>
      <c r="I34" s="42" t="n">
        <f aca="false">RawData!J10</f>
        <v>6.198584</v>
      </c>
      <c r="J34" s="42" t="n">
        <f aca="false">RawData!K10</f>
        <v>0</v>
      </c>
      <c r="K34" s="42" t="n">
        <f aca="false">RawData!L10</f>
        <v>0</v>
      </c>
      <c r="L34" s="43" t="n">
        <f aca="false">RawData!M10</f>
        <v>-24175.568268</v>
      </c>
      <c r="M34" s="44" t="n">
        <f aca="false">RawData!N10</f>
        <v>-0.114196</v>
      </c>
    </row>
    <row r="35" customFormat="false" ht="15" hidden="false" customHeight="false" outlineLevel="0" collapsed="false">
      <c r="A35" s="39"/>
      <c r="B35" s="40"/>
      <c r="C35" s="40" t="s">
        <v>31</v>
      </c>
      <c r="D35" s="43" t="n">
        <f aca="false">IF(RawData!A10&lt;TodayDay,RawData!O10,"")</f>
        <v>-20144.4</v>
      </c>
      <c r="E35" s="43" t="n">
        <f aca="false">IF(RawData!A10&lt;TodayDay,RawData!P10,"")</f>
        <v>0</v>
      </c>
      <c r="F35" s="43" t="n">
        <f aca="false">IF(RawData!A10&lt;TodayDay,RawData!Q10,"")</f>
        <v>0</v>
      </c>
      <c r="G35" s="43" t="n">
        <f aca="false">IF(RawData!A10&lt;TodayDay,RawData!R10,"")</f>
        <v>0</v>
      </c>
      <c r="H35" s="43" t="n">
        <f aca="false">IF(RawData!A10&lt;TodayDay,RawData!S10,"")</f>
        <v>510.46</v>
      </c>
      <c r="I35" s="43" t="n">
        <f aca="false">IF(RawData!A10&lt;TodayDay,RawData!T10,"")</f>
        <v>0</v>
      </c>
      <c r="J35" s="43" t="n">
        <f aca="false">IF(RawData!A10&lt;TodayDay,RawData!U10,"")</f>
        <v>0</v>
      </c>
      <c r="K35" s="43" t="n">
        <f aca="false">IF(RawData!A10&lt;TodayDay,RawData!V10,"")</f>
        <v>0</v>
      </c>
      <c r="L35" s="43" t="n">
        <f aca="false">IF(RawData!A10&lt;TodayDay,RawData!W10,"")</f>
        <v>-19633.94</v>
      </c>
      <c r="M35" s="44" t="n">
        <f aca="false">IF(RawData!A10&lt;TodayDay,RawData!X10,"")</f>
        <v>-0.092743</v>
      </c>
    </row>
    <row r="36" customFormat="false" ht="15" hidden="false" customHeight="false" outlineLevel="0" collapsed="false">
      <c r="A36" s="39"/>
      <c r="B36" s="40"/>
      <c r="C36" s="45" t="s">
        <v>32</v>
      </c>
      <c r="D36" s="43" t="n">
        <f aca="false">IF(RawData!A10&lt;TodayDay,D35-D34,"")</f>
        <v>4129.4649</v>
      </c>
      <c r="E36" s="43" t="n">
        <f aca="false">IF(RawData!A10&lt;TodayDay,E35-E34,"")</f>
        <v>-76.79918</v>
      </c>
      <c r="F36" s="43" t="n">
        <f aca="false">IF(RawData!A10&lt;TodayDay,F35-F34,"")</f>
        <v>-3.846154</v>
      </c>
      <c r="G36" s="43" t="n">
        <f aca="false">IF(RawData!A10&lt;TodayDay,G35-G34,"")</f>
        <v>-6.704117</v>
      </c>
      <c r="H36" s="43" t="n">
        <f aca="false">IF(RawData!A10&lt;TodayDay,H35-H34,"")</f>
        <v>505.711403</v>
      </c>
      <c r="I36" s="43" t="n">
        <f aca="false">IF(RawData!A10&lt;TodayDay,I35-I34,"")</f>
        <v>-6.198584</v>
      </c>
      <c r="J36" s="43" t="n">
        <f aca="false">IF(RawData!A10&lt;TodayDay,J35-J34,"")</f>
        <v>0</v>
      </c>
      <c r="K36" s="43" t="n">
        <f aca="false">IF(RawData!A10&lt;TodayDay,K35-K34,"")</f>
        <v>0</v>
      </c>
      <c r="L36" s="43" t="n">
        <f aca="false">IF(RawData!A10&lt;TodayDay,L35-L34,"")</f>
        <v>4541.628268</v>
      </c>
      <c r="M36" s="44" t="n">
        <f aca="false">IF(RawData!A10&lt;TodayDay,M35-M34,"")</f>
        <v>0.021453</v>
      </c>
    </row>
    <row r="37" customFormat="false" ht="15" hidden="false" customHeight="false" outlineLevel="0" collapsed="false">
      <c r="A37" s="39"/>
      <c r="B37" s="40" t="s">
        <v>66</v>
      </c>
      <c r="C37" s="41" t="s">
        <v>30</v>
      </c>
      <c r="D37" s="42" t="n">
        <f aca="false">RawData!E11</f>
        <v>-24273.8649</v>
      </c>
      <c r="E37" s="42" t="n">
        <f aca="false">RawData!F11</f>
        <v>76.79918</v>
      </c>
      <c r="F37" s="42" t="n">
        <f aca="false">RawData!G11</f>
        <v>3.846154</v>
      </c>
      <c r="G37" s="42" t="n">
        <f aca="false">RawData!H11</f>
        <v>6.704117</v>
      </c>
      <c r="H37" s="42" t="n">
        <f aca="false">RawData!I11</f>
        <v>4.748597</v>
      </c>
      <c r="I37" s="42" t="n">
        <f aca="false">RawData!J11</f>
        <v>6.198584</v>
      </c>
      <c r="J37" s="42" t="n">
        <f aca="false">RawData!K11</f>
        <v>0</v>
      </c>
      <c r="K37" s="42" t="n">
        <f aca="false">RawData!L11</f>
        <v>0</v>
      </c>
      <c r="L37" s="43" t="n">
        <f aca="false">RawData!M11</f>
        <v>-24175.568268</v>
      </c>
      <c r="M37" s="44" t="n">
        <f aca="false">RawData!N11</f>
        <v>-0.114196</v>
      </c>
    </row>
    <row r="38" customFormat="false" ht="15" hidden="false" customHeight="false" outlineLevel="0" collapsed="false">
      <c r="A38" s="39"/>
      <c r="B38" s="40"/>
      <c r="C38" s="40" t="s">
        <v>31</v>
      </c>
      <c r="D38" s="43" t="n">
        <f aca="false">IF(RawData!A11&lt;TodayDay,RawData!O11,"")</f>
        <v>-20742.5</v>
      </c>
      <c r="E38" s="43" t="n">
        <f aca="false">IF(RawData!A11&lt;TodayDay,RawData!P11,"")</f>
        <v>0</v>
      </c>
      <c r="F38" s="43" t="n">
        <f aca="false">IF(RawData!A11&lt;TodayDay,RawData!Q11,"")</f>
        <v>0</v>
      </c>
      <c r="G38" s="43" t="n">
        <f aca="false">IF(RawData!A11&lt;TodayDay,RawData!R11,"")</f>
        <v>0</v>
      </c>
      <c r="H38" s="43" t="n">
        <f aca="false">IF(RawData!A11&lt;TodayDay,RawData!S11,"")</f>
        <v>0</v>
      </c>
      <c r="I38" s="43" t="n">
        <f aca="false">IF(RawData!A11&lt;TodayDay,RawData!T11,"")</f>
        <v>162.43</v>
      </c>
      <c r="J38" s="43" t="n">
        <f aca="false">IF(RawData!A11&lt;TodayDay,RawData!U11,"")</f>
        <v>0</v>
      </c>
      <c r="K38" s="43" t="n">
        <f aca="false">IF(RawData!A11&lt;TodayDay,RawData!V11,"")</f>
        <v>0</v>
      </c>
      <c r="L38" s="43" t="n">
        <f aca="false">IF(RawData!A11&lt;TodayDay,RawData!W11,"")</f>
        <v>-20580.07</v>
      </c>
      <c r="M38" s="44" t="n">
        <f aca="false">IF(RawData!A11&lt;TodayDay,RawData!X11,"")</f>
        <v>-0.097212</v>
      </c>
    </row>
    <row r="39" customFormat="false" ht="15" hidden="false" customHeight="false" outlineLevel="0" collapsed="false">
      <c r="A39" s="39"/>
      <c r="B39" s="40"/>
      <c r="C39" s="45" t="s">
        <v>32</v>
      </c>
      <c r="D39" s="43" t="n">
        <f aca="false">IF(RawData!A11&lt;TodayDay,D38-D37,"")</f>
        <v>3531.3649</v>
      </c>
      <c r="E39" s="43" t="n">
        <f aca="false">IF(RawData!A11&lt;TodayDay,E38-E37,"")</f>
        <v>-76.79918</v>
      </c>
      <c r="F39" s="43" t="n">
        <f aca="false">IF(RawData!A11&lt;TodayDay,F38-F37,"")</f>
        <v>-3.846154</v>
      </c>
      <c r="G39" s="43" t="n">
        <f aca="false">IF(RawData!A11&lt;TodayDay,G38-G37,"")</f>
        <v>-6.704117</v>
      </c>
      <c r="H39" s="43" t="n">
        <f aca="false">IF(RawData!A11&lt;TodayDay,H38-H37,"")</f>
        <v>-4.748597</v>
      </c>
      <c r="I39" s="43" t="n">
        <f aca="false">IF(RawData!A11&lt;TodayDay,I38-I37,"")</f>
        <v>156.231416</v>
      </c>
      <c r="J39" s="43" t="n">
        <f aca="false">IF(RawData!A11&lt;TodayDay,J38-J37,"")</f>
        <v>0</v>
      </c>
      <c r="K39" s="43" t="n">
        <f aca="false">IF(RawData!A11&lt;TodayDay,K38-K37,"")</f>
        <v>0</v>
      </c>
      <c r="L39" s="43" t="n">
        <f aca="false">IF(RawData!A11&lt;TodayDay,L38-L37,"")</f>
        <v>3595.498268</v>
      </c>
      <c r="M39" s="44" t="n">
        <f aca="false">IF(RawData!A11&lt;TodayDay,M38-M37,"")</f>
        <v>0.016984</v>
      </c>
    </row>
    <row r="40" customFormat="false" ht="15" hidden="false" customHeight="false" outlineLevel="0" collapsed="false">
      <c r="A40" s="39"/>
      <c r="B40" s="40" t="s">
        <v>67</v>
      </c>
      <c r="C40" s="41" t="s">
        <v>30</v>
      </c>
      <c r="D40" s="42" t="n">
        <f aca="false">RawData!E12</f>
        <v>-24273.8649</v>
      </c>
      <c r="E40" s="42" t="n">
        <f aca="false">RawData!F12</f>
        <v>76.79918</v>
      </c>
      <c r="F40" s="42" t="n">
        <f aca="false">RawData!G12</f>
        <v>3.846154</v>
      </c>
      <c r="G40" s="42" t="n">
        <f aca="false">RawData!H12</f>
        <v>6.704117</v>
      </c>
      <c r="H40" s="42" t="n">
        <f aca="false">RawData!I12</f>
        <v>4.748597</v>
      </c>
      <c r="I40" s="42" t="n">
        <f aca="false">RawData!J12</f>
        <v>6.198584</v>
      </c>
      <c r="J40" s="42" t="n">
        <f aca="false">RawData!K12</f>
        <v>0</v>
      </c>
      <c r="K40" s="42" t="n">
        <f aca="false">RawData!L12</f>
        <v>0</v>
      </c>
      <c r="L40" s="43" t="n">
        <f aca="false">RawData!M12</f>
        <v>-24175.568268</v>
      </c>
      <c r="M40" s="44" t="n">
        <f aca="false">RawData!N12</f>
        <v>-0.114196</v>
      </c>
    </row>
    <row r="41" customFormat="false" ht="15" hidden="false" customHeight="false" outlineLevel="0" collapsed="false">
      <c r="A41" s="39"/>
      <c r="B41" s="40"/>
      <c r="C41" s="40" t="s">
        <v>31</v>
      </c>
      <c r="D41" s="43" t="n">
        <f aca="false">IF(RawData!A12&lt;TodayDay,RawData!O12,"")</f>
        <v>-21722.29</v>
      </c>
      <c r="E41" s="43" t="n">
        <f aca="false">IF(RawData!A12&lt;TodayDay,RawData!P12,"")</f>
        <v>0</v>
      </c>
      <c r="F41" s="43" t="n">
        <f aca="false">IF(RawData!A12&lt;TodayDay,RawData!Q12,"")</f>
        <v>0</v>
      </c>
      <c r="G41" s="43" t="n">
        <f aca="false">IF(RawData!A12&lt;TodayDay,RawData!R12,"")</f>
        <v>0</v>
      </c>
      <c r="H41" s="43" t="n">
        <f aca="false">IF(RawData!A12&lt;TodayDay,RawData!S12,"")</f>
        <v>0</v>
      </c>
      <c r="I41" s="43" t="n">
        <f aca="false">IF(RawData!A12&lt;TodayDay,RawData!T12,"")</f>
        <v>46.68</v>
      </c>
      <c r="J41" s="43" t="n">
        <f aca="false">IF(RawData!A12&lt;TodayDay,RawData!U12,"")</f>
        <v>0</v>
      </c>
      <c r="K41" s="43" t="n">
        <f aca="false">IF(RawData!A12&lt;TodayDay,RawData!V12,"")</f>
        <v>0</v>
      </c>
      <c r="L41" s="43" t="n">
        <f aca="false">IF(RawData!A12&lt;TodayDay,RawData!W12,"")</f>
        <v>-21675.61</v>
      </c>
      <c r="M41" s="44" t="n">
        <f aca="false">IF(RawData!A12&lt;TodayDay,RawData!X12,"")</f>
        <v>-0.102387</v>
      </c>
    </row>
    <row r="42" customFormat="false" ht="15" hidden="false" customHeight="false" outlineLevel="0" collapsed="false">
      <c r="A42" s="39"/>
      <c r="B42" s="40"/>
      <c r="C42" s="45" t="s">
        <v>32</v>
      </c>
      <c r="D42" s="43" t="n">
        <f aca="false">IF(RawData!A12&lt;TodayDay,D41-D40,"")</f>
        <v>2551.5749</v>
      </c>
      <c r="E42" s="43" t="n">
        <f aca="false">IF(RawData!A12&lt;TodayDay,E41-E40,"")</f>
        <v>-76.79918</v>
      </c>
      <c r="F42" s="43" t="n">
        <f aca="false">IF(RawData!A12&lt;TodayDay,F41-F40,"")</f>
        <v>-3.846154</v>
      </c>
      <c r="G42" s="43" t="n">
        <f aca="false">IF(RawData!A12&lt;TodayDay,G41-G40,"")</f>
        <v>-6.704117</v>
      </c>
      <c r="H42" s="43" t="n">
        <f aca="false">IF(RawData!A12&lt;TodayDay,H41-H40,"")</f>
        <v>-4.748597</v>
      </c>
      <c r="I42" s="43" t="n">
        <f aca="false">IF(RawData!A12&lt;TodayDay,I41-I40,"")</f>
        <v>40.481416</v>
      </c>
      <c r="J42" s="43" t="n">
        <f aca="false">IF(RawData!A12&lt;TodayDay,J41-J40,"")</f>
        <v>0</v>
      </c>
      <c r="K42" s="43" t="n">
        <f aca="false">IF(RawData!A12&lt;TodayDay,K41-K40,"")</f>
        <v>0</v>
      </c>
      <c r="L42" s="43" t="n">
        <f aca="false">IF(RawData!A12&lt;TodayDay,L41-L40,"")</f>
        <v>2499.958268</v>
      </c>
      <c r="M42" s="44" t="n">
        <f aca="false">IF(RawData!A12&lt;TodayDay,M41-M40,"")</f>
        <v>0.011809</v>
      </c>
    </row>
    <row r="43" customFormat="false" ht="15" hidden="false" customHeight="false" outlineLevel="0" collapsed="false">
      <c r="A43" s="39"/>
      <c r="B43" s="40" t="s">
        <v>68</v>
      </c>
      <c r="C43" s="41" t="s">
        <v>30</v>
      </c>
      <c r="D43" s="42" t="n">
        <f aca="false">RawData!E13</f>
        <v>-24273.8649</v>
      </c>
      <c r="E43" s="42" t="n">
        <f aca="false">RawData!F13</f>
        <v>76.79918</v>
      </c>
      <c r="F43" s="42" t="n">
        <f aca="false">RawData!G13</f>
        <v>3.846154</v>
      </c>
      <c r="G43" s="42" t="n">
        <f aca="false">RawData!H13</f>
        <v>6.704117</v>
      </c>
      <c r="H43" s="42" t="n">
        <f aca="false">RawData!I13</f>
        <v>4.748597</v>
      </c>
      <c r="I43" s="42" t="n">
        <f aca="false">RawData!J13</f>
        <v>6.198584</v>
      </c>
      <c r="J43" s="42" t="n">
        <f aca="false">RawData!K13</f>
        <v>0</v>
      </c>
      <c r="K43" s="42" t="n">
        <f aca="false">RawData!L13</f>
        <v>0</v>
      </c>
      <c r="L43" s="43" t="n">
        <f aca="false">RawData!M13</f>
        <v>-24175.568268</v>
      </c>
      <c r="M43" s="44" t="n">
        <f aca="false">RawData!N13</f>
        <v>-0.114196</v>
      </c>
    </row>
    <row r="44" customFormat="false" ht="15" hidden="false" customHeight="false" outlineLevel="0" collapsed="false">
      <c r="A44" s="39"/>
      <c r="B44" s="40"/>
      <c r="C44" s="40" t="s">
        <v>31</v>
      </c>
      <c r="D44" s="43" t="n">
        <f aca="false">IF(RawData!A13&lt;TodayDay,RawData!O13,"")</f>
        <v>0</v>
      </c>
      <c r="E44" s="43" t="n">
        <f aca="false">IF(RawData!A13&lt;TodayDay,RawData!P13,"")</f>
        <v>0</v>
      </c>
      <c r="F44" s="43" t="n">
        <f aca="false">IF(RawData!A13&lt;TodayDay,RawData!Q13,"")</f>
        <v>0</v>
      </c>
      <c r="G44" s="43" t="n">
        <f aca="false">IF(RawData!A13&lt;TodayDay,RawData!R13,"")</f>
        <v>0</v>
      </c>
      <c r="H44" s="43" t="n">
        <f aca="false">IF(RawData!A13&lt;TodayDay,RawData!S13,"")</f>
        <v>0</v>
      </c>
      <c r="I44" s="43" t="n">
        <f aca="false">IF(RawData!A13&lt;TodayDay,RawData!T13,"")</f>
        <v>0</v>
      </c>
      <c r="J44" s="43" t="n">
        <f aca="false">IF(RawData!A13&lt;TodayDay,RawData!U13,"")</f>
        <v>0</v>
      </c>
      <c r="K44" s="43" t="n">
        <f aca="false">IF(RawData!A13&lt;TodayDay,RawData!V13,"")</f>
        <v>0</v>
      </c>
      <c r="L44" s="43" t="n">
        <f aca="false">IF(RawData!A13&lt;TodayDay,RawData!W13,"")</f>
        <v>0</v>
      </c>
      <c r="M44" s="44" t="n">
        <f aca="false">IF(RawData!A13&lt;TodayDay,RawData!X13,"")</f>
        <v>0</v>
      </c>
    </row>
    <row r="45" customFormat="false" ht="15" hidden="false" customHeight="false" outlineLevel="0" collapsed="false">
      <c r="A45" s="39"/>
      <c r="B45" s="40"/>
      <c r="C45" s="45" t="s">
        <v>32</v>
      </c>
      <c r="D45" s="43" t="n">
        <f aca="false">IF(RawData!A13&lt;TodayDay,D44-D43,"")</f>
        <v>24273.8649</v>
      </c>
      <c r="E45" s="43" t="n">
        <f aca="false">IF(RawData!A13&lt;TodayDay,E44-E43,"")</f>
        <v>-76.79918</v>
      </c>
      <c r="F45" s="43" t="n">
        <f aca="false">IF(RawData!A13&lt;TodayDay,F44-F43,"")</f>
        <v>-3.846154</v>
      </c>
      <c r="G45" s="43" t="n">
        <f aca="false">IF(RawData!A13&lt;TodayDay,G44-G43,"")</f>
        <v>-6.704117</v>
      </c>
      <c r="H45" s="43" t="n">
        <f aca="false">IF(RawData!A13&lt;TodayDay,H44-H43,"")</f>
        <v>-4.748597</v>
      </c>
      <c r="I45" s="43" t="n">
        <f aca="false">IF(RawData!A13&lt;TodayDay,I44-I43,"")</f>
        <v>-6.198584</v>
      </c>
      <c r="J45" s="43" t="n">
        <f aca="false">IF(RawData!A13&lt;TodayDay,J44-J43,"")</f>
        <v>0</v>
      </c>
      <c r="K45" s="43" t="n">
        <f aca="false">IF(RawData!A13&lt;TodayDay,K44-K43,"")</f>
        <v>0</v>
      </c>
      <c r="L45" s="43" t="n">
        <f aca="false">IF(RawData!A13&lt;TodayDay,L44-L43,"")</f>
        <v>24175.568268</v>
      </c>
      <c r="M45" s="44" t="n">
        <f aca="false">IF(RawData!A13&lt;TodayDay,M44-M43,"")</f>
        <v>0.114196</v>
      </c>
    </row>
    <row r="46" customFormat="false" ht="15" hidden="false" customHeight="false" outlineLevel="0" collapsed="false">
      <c r="A46" s="39"/>
      <c r="B46" s="46" t="s">
        <v>69</v>
      </c>
      <c r="C46" s="47" t="s">
        <v>30</v>
      </c>
      <c r="D46" s="48" t="n">
        <f aca="false">RawData!E14</f>
        <v>0</v>
      </c>
      <c r="E46" s="48" t="n">
        <f aca="false">RawData!F14</f>
        <v>76.79918</v>
      </c>
      <c r="F46" s="48" t="n">
        <f aca="false">RawData!G14</f>
        <v>0</v>
      </c>
      <c r="G46" s="48" t="n">
        <f aca="false">RawData!H14</f>
        <v>0</v>
      </c>
      <c r="H46" s="48" t="n">
        <f aca="false">RawData!I14</f>
        <v>4.748597</v>
      </c>
      <c r="I46" s="48" t="n">
        <f aca="false">RawData!J14</f>
        <v>6.198584</v>
      </c>
      <c r="J46" s="48" t="n">
        <f aca="false">RawData!K14</f>
        <v>0</v>
      </c>
      <c r="K46" s="48" t="n">
        <f aca="false">RawData!L14</f>
        <v>0</v>
      </c>
      <c r="L46" s="49" t="n">
        <f aca="false">RawData!M14</f>
        <v>87.746361</v>
      </c>
      <c r="M46" s="50" t="n">
        <f aca="false">RawData!N14</f>
        <v>0.000414</v>
      </c>
    </row>
    <row r="47" customFormat="false" ht="15" hidden="false" customHeight="false" outlineLevel="0" collapsed="false">
      <c r="A47" s="39"/>
      <c r="B47" s="46"/>
      <c r="C47" s="46" t="s">
        <v>31</v>
      </c>
      <c r="D47" s="49" t="str">
        <f aca="false">IF(RawData!A14&lt;TodayDay,RawData!O14,"")</f>
        <v/>
      </c>
      <c r="E47" s="49" t="str">
        <f aca="false">IF(RawData!A14&lt;TodayDay,RawData!P14,"")</f>
        <v/>
      </c>
      <c r="F47" s="49" t="str">
        <f aca="false">IF(RawData!A14&lt;TodayDay,RawData!Q14,"")</f>
        <v/>
      </c>
      <c r="G47" s="49" t="str">
        <f aca="false">IF(RawData!A14&lt;TodayDay,RawData!R14,"")</f>
        <v/>
      </c>
      <c r="H47" s="49" t="str">
        <f aca="false">IF(RawData!A14&lt;TodayDay,RawData!S14,"")</f>
        <v/>
      </c>
      <c r="I47" s="49" t="str">
        <f aca="false">IF(RawData!A14&lt;TodayDay,RawData!T14,"")</f>
        <v/>
      </c>
      <c r="J47" s="49" t="str">
        <f aca="false">IF(RawData!A14&lt;TodayDay,RawData!U14,"")</f>
        <v/>
      </c>
      <c r="K47" s="49" t="str">
        <f aca="false">IF(RawData!A14&lt;TodayDay,RawData!V14,"")</f>
        <v/>
      </c>
      <c r="L47" s="49" t="str">
        <f aca="false">IF(RawData!A14&lt;TodayDay,RawData!W14,"")</f>
        <v/>
      </c>
      <c r="M47" s="50" t="str">
        <f aca="false">IF(RawData!A14&lt;TodayDay,RawData!X14,"")</f>
        <v/>
      </c>
    </row>
    <row r="48" customFormat="false" ht="15" hidden="false" customHeight="false" outlineLevel="0" collapsed="false">
      <c r="A48" s="39"/>
      <c r="B48" s="46"/>
      <c r="C48" s="51" t="s">
        <v>32</v>
      </c>
      <c r="D48" s="49" t="str">
        <f aca="false">IF(RawData!A14&lt;TodayDay,D47-D46,"")</f>
        <v/>
      </c>
      <c r="E48" s="49" t="str">
        <f aca="false">IF(RawData!A14&lt;TodayDay,E47-E46,"")</f>
        <v/>
      </c>
      <c r="F48" s="49" t="str">
        <f aca="false">IF(RawData!A14&lt;TodayDay,F47-F46,"")</f>
        <v/>
      </c>
      <c r="G48" s="49" t="str">
        <f aca="false">IF(RawData!A14&lt;TodayDay,G47-G46,"")</f>
        <v/>
      </c>
      <c r="H48" s="49" t="str">
        <f aca="false">IF(RawData!A14&lt;TodayDay,H47-H46,"")</f>
        <v/>
      </c>
      <c r="I48" s="49" t="str">
        <f aca="false">IF(RawData!A14&lt;TodayDay,I47-I46,"")</f>
        <v/>
      </c>
      <c r="J48" s="49" t="str">
        <f aca="false">IF(RawData!A14&lt;TodayDay,J47-J46,"")</f>
        <v/>
      </c>
      <c r="K48" s="49" t="str">
        <f aca="false">IF(RawData!A14&lt;TodayDay,K47-K46,"")</f>
        <v/>
      </c>
      <c r="L48" s="49" t="str">
        <f aca="false">IF(RawData!A14&lt;TodayDay,L47-L46,"")</f>
        <v/>
      </c>
      <c r="M48" s="50" t="str">
        <f aca="false">IF(RawData!A14&lt;TodayDay,M47-M46,"")</f>
        <v/>
      </c>
    </row>
    <row r="49" customFormat="false" ht="15" hidden="false" customHeight="false" outlineLevel="0" collapsed="false">
      <c r="A49" s="39"/>
      <c r="B49" s="46" t="s">
        <v>70</v>
      </c>
      <c r="C49" s="47" t="s">
        <v>30</v>
      </c>
      <c r="D49" s="48" t="n">
        <f aca="false">RawData!E15</f>
        <v>0</v>
      </c>
      <c r="E49" s="48" t="n">
        <f aca="false">RawData!F15</f>
        <v>76.79918</v>
      </c>
      <c r="F49" s="48" t="n">
        <f aca="false">RawData!G15</f>
        <v>0</v>
      </c>
      <c r="G49" s="48" t="n">
        <f aca="false">RawData!H15</f>
        <v>0</v>
      </c>
      <c r="H49" s="48" t="n">
        <f aca="false">RawData!I15</f>
        <v>4.748597</v>
      </c>
      <c r="I49" s="48" t="n">
        <f aca="false">RawData!J15</f>
        <v>6.198584</v>
      </c>
      <c r="J49" s="48" t="n">
        <f aca="false">RawData!K15</f>
        <v>0</v>
      </c>
      <c r="K49" s="48" t="n">
        <f aca="false">RawData!L15</f>
        <v>0</v>
      </c>
      <c r="L49" s="49" t="n">
        <f aca="false">RawData!M15</f>
        <v>87.746361</v>
      </c>
      <c r="M49" s="50" t="n">
        <f aca="false">RawData!N15</f>
        <v>0.000414</v>
      </c>
    </row>
    <row r="50" customFormat="false" ht="15" hidden="false" customHeight="false" outlineLevel="0" collapsed="false">
      <c r="A50" s="39"/>
      <c r="B50" s="46"/>
      <c r="C50" s="46" t="s">
        <v>31</v>
      </c>
      <c r="D50" s="49" t="str">
        <f aca="false">IF(RawData!A15&lt;TodayDay,RawData!O15,"")</f>
        <v/>
      </c>
      <c r="E50" s="49" t="str">
        <f aca="false">IF(RawData!A15&lt;TodayDay,RawData!P15,"")</f>
        <v/>
      </c>
      <c r="F50" s="49" t="str">
        <f aca="false">IF(RawData!A15&lt;TodayDay,RawData!Q15,"")</f>
        <v/>
      </c>
      <c r="G50" s="49" t="str">
        <f aca="false">IF(RawData!A15&lt;TodayDay,RawData!R15,"")</f>
        <v/>
      </c>
      <c r="H50" s="49" t="str">
        <f aca="false">IF(RawData!A15&lt;TodayDay,RawData!S15,"")</f>
        <v/>
      </c>
      <c r="I50" s="49" t="str">
        <f aca="false">IF(RawData!A15&lt;TodayDay,RawData!T15,"")</f>
        <v/>
      </c>
      <c r="J50" s="49" t="str">
        <f aca="false">IF(RawData!A15&lt;TodayDay,RawData!U15,"")</f>
        <v/>
      </c>
      <c r="K50" s="49" t="str">
        <f aca="false">IF(RawData!A15&lt;TodayDay,RawData!V15,"")</f>
        <v/>
      </c>
      <c r="L50" s="49" t="str">
        <f aca="false">IF(RawData!A15&lt;TodayDay,RawData!W15,"")</f>
        <v/>
      </c>
      <c r="M50" s="50" t="str">
        <f aca="false">IF(RawData!A15&lt;TodayDay,RawData!X15,"")</f>
        <v/>
      </c>
    </row>
    <row r="51" customFormat="false" ht="15" hidden="false" customHeight="false" outlineLevel="0" collapsed="false">
      <c r="A51" s="39"/>
      <c r="B51" s="46"/>
      <c r="C51" s="51" t="s">
        <v>32</v>
      </c>
      <c r="D51" s="49" t="str">
        <f aca="false">IF(RawData!A15&lt;TodayDay,D50-D49,"")</f>
        <v/>
      </c>
      <c r="E51" s="49" t="str">
        <f aca="false">IF(RawData!A15&lt;TodayDay,E50-E49,"")</f>
        <v/>
      </c>
      <c r="F51" s="49" t="str">
        <f aca="false">IF(RawData!A15&lt;TodayDay,F50-F49,"")</f>
        <v/>
      </c>
      <c r="G51" s="49" t="str">
        <f aca="false">IF(RawData!A15&lt;TodayDay,G50-G49,"")</f>
        <v/>
      </c>
      <c r="H51" s="49" t="str">
        <f aca="false">IF(RawData!A15&lt;TodayDay,H50-H49,"")</f>
        <v/>
      </c>
      <c r="I51" s="49" t="str">
        <f aca="false">IF(RawData!A15&lt;TodayDay,I50-I49,"")</f>
        <v/>
      </c>
      <c r="J51" s="49" t="str">
        <f aca="false">IF(RawData!A15&lt;TodayDay,J50-J49,"")</f>
        <v/>
      </c>
      <c r="K51" s="49" t="str">
        <f aca="false">IF(RawData!A15&lt;TodayDay,K50-K49,"")</f>
        <v/>
      </c>
      <c r="L51" s="49" t="str">
        <f aca="false">IF(RawData!A15&lt;TodayDay,L50-L49,"")</f>
        <v/>
      </c>
      <c r="M51" s="50" t="str">
        <f aca="false">IF(RawData!A15&lt;TodayDay,M50-M49,"")</f>
        <v/>
      </c>
    </row>
    <row r="52" customFormat="false" ht="15" hidden="false" customHeight="false" outlineLevel="0" collapsed="false">
      <c r="A52" s="39" t="n">
        <v>29</v>
      </c>
      <c r="B52" s="40" t="s">
        <v>71</v>
      </c>
      <c r="C52" s="41" t="s">
        <v>30</v>
      </c>
      <c r="D52" s="42" t="n">
        <f aca="false">RawData!E16</f>
        <v>-24273.8649</v>
      </c>
      <c r="E52" s="42" t="n">
        <f aca="false">RawData!F16</f>
        <v>76.79918</v>
      </c>
      <c r="F52" s="42" t="n">
        <f aca="false">RawData!G16</f>
        <v>3.846154</v>
      </c>
      <c r="G52" s="42" t="n">
        <f aca="false">RawData!H16</f>
        <v>6.704117</v>
      </c>
      <c r="H52" s="42" t="n">
        <f aca="false">RawData!I16</f>
        <v>4.748597</v>
      </c>
      <c r="I52" s="42" t="n">
        <f aca="false">RawData!J16</f>
        <v>6.198584</v>
      </c>
      <c r="J52" s="42" t="n">
        <f aca="false">RawData!K16</f>
        <v>0</v>
      </c>
      <c r="K52" s="42" t="n">
        <f aca="false">RawData!L16</f>
        <v>0</v>
      </c>
      <c r="L52" s="43" t="n">
        <f aca="false">RawData!M16</f>
        <v>-24175.568268</v>
      </c>
      <c r="M52" s="44" t="n">
        <f aca="false">RawData!N16</f>
        <v>-0.114196</v>
      </c>
    </row>
    <row r="53" customFormat="false" ht="15" hidden="false" customHeight="false" outlineLevel="0" collapsed="false">
      <c r="A53" s="39"/>
      <c r="B53" s="40"/>
      <c r="C53" s="40" t="s">
        <v>31</v>
      </c>
      <c r="D53" s="43" t="str">
        <f aca="false">IF(RawData!A16&lt;TodayDay,RawData!O16,"")</f>
        <v/>
      </c>
      <c r="E53" s="43" t="str">
        <f aca="false">IF(RawData!A16&lt;TodayDay,RawData!P16,"")</f>
        <v/>
      </c>
      <c r="F53" s="43" t="str">
        <f aca="false">IF(RawData!A16&lt;TodayDay,RawData!Q16,"")</f>
        <v/>
      </c>
      <c r="G53" s="43" t="str">
        <f aca="false">IF(RawData!A16&lt;TodayDay,RawData!R16,"")</f>
        <v/>
      </c>
      <c r="H53" s="43" t="str">
        <f aca="false">IF(RawData!A16&lt;TodayDay,RawData!S16,"")</f>
        <v/>
      </c>
      <c r="I53" s="43" t="str">
        <f aca="false">IF(RawData!A16&lt;TodayDay,RawData!T16,"")</f>
        <v/>
      </c>
      <c r="J53" s="43" t="str">
        <f aca="false">IF(RawData!A16&lt;TodayDay,RawData!U16,"")</f>
        <v/>
      </c>
      <c r="K53" s="43" t="str">
        <f aca="false">IF(RawData!A16&lt;TodayDay,RawData!V16,"")</f>
        <v/>
      </c>
      <c r="L53" s="43" t="str">
        <f aca="false">IF(RawData!A16&lt;TodayDay,RawData!W16,"")</f>
        <v/>
      </c>
      <c r="M53" s="44" t="str">
        <f aca="false">IF(RawData!A16&lt;TodayDay,RawData!X16,"")</f>
        <v/>
      </c>
    </row>
    <row r="54" customFormat="false" ht="15" hidden="false" customHeight="false" outlineLevel="0" collapsed="false">
      <c r="A54" s="39"/>
      <c r="B54" s="40"/>
      <c r="C54" s="45" t="s">
        <v>32</v>
      </c>
      <c r="D54" s="43" t="str">
        <f aca="false">IF(RawData!A16&lt;TodayDay,D53-D52,"")</f>
        <v/>
      </c>
      <c r="E54" s="43" t="str">
        <f aca="false">IF(RawData!A16&lt;TodayDay,E53-E52,"")</f>
        <v/>
      </c>
      <c r="F54" s="43" t="str">
        <f aca="false">IF(RawData!A16&lt;TodayDay,F53-F52,"")</f>
        <v/>
      </c>
      <c r="G54" s="43" t="str">
        <f aca="false">IF(RawData!A16&lt;TodayDay,G53-G52,"")</f>
        <v/>
      </c>
      <c r="H54" s="43" t="str">
        <f aca="false">IF(RawData!A16&lt;TodayDay,H53-H52,"")</f>
        <v/>
      </c>
      <c r="I54" s="43" t="str">
        <f aca="false">IF(RawData!A16&lt;TodayDay,I53-I52,"")</f>
        <v/>
      </c>
      <c r="J54" s="43" t="str">
        <f aca="false">IF(RawData!A16&lt;TodayDay,J53-J52,"")</f>
        <v/>
      </c>
      <c r="K54" s="43" t="str">
        <f aca="false">IF(RawData!A16&lt;TodayDay,K53-K52,"")</f>
        <v/>
      </c>
      <c r="L54" s="43" t="str">
        <f aca="false">IF(RawData!A16&lt;TodayDay,L53-L52,"")</f>
        <v/>
      </c>
      <c r="M54" s="44" t="str">
        <f aca="false">IF(RawData!A16&lt;TodayDay,M53-M52,"")</f>
        <v/>
      </c>
    </row>
    <row r="55" customFormat="false" ht="15" hidden="false" customHeight="false" outlineLevel="0" collapsed="false">
      <c r="A55" s="39"/>
      <c r="B55" s="40" t="s">
        <v>72</v>
      </c>
      <c r="C55" s="41" t="s">
        <v>30</v>
      </c>
      <c r="D55" s="42" t="n">
        <f aca="false">RawData!E17</f>
        <v>-24273.8649</v>
      </c>
      <c r="E55" s="42" t="n">
        <f aca="false">RawData!F17</f>
        <v>76.79918</v>
      </c>
      <c r="F55" s="42" t="n">
        <f aca="false">RawData!G17</f>
        <v>3.846154</v>
      </c>
      <c r="G55" s="42" t="n">
        <f aca="false">RawData!H17</f>
        <v>6.704117</v>
      </c>
      <c r="H55" s="42" t="n">
        <f aca="false">RawData!I17</f>
        <v>4.748597</v>
      </c>
      <c r="I55" s="42" t="n">
        <f aca="false">RawData!J17</f>
        <v>6.198584</v>
      </c>
      <c r="J55" s="42" t="n">
        <f aca="false">RawData!K17</f>
        <v>0</v>
      </c>
      <c r="K55" s="42" t="n">
        <f aca="false">RawData!L17</f>
        <v>0</v>
      </c>
      <c r="L55" s="43" t="n">
        <f aca="false">RawData!M17</f>
        <v>-24175.568268</v>
      </c>
      <c r="M55" s="44" t="n">
        <f aca="false">RawData!N17</f>
        <v>-0.114196</v>
      </c>
    </row>
    <row r="56" customFormat="false" ht="15" hidden="false" customHeight="false" outlineLevel="0" collapsed="false">
      <c r="A56" s="39"/>
      <c r="B56" s="40"/>
      <c r="C56" s="40" t="s">
        <v>31</v>
      </c>
      <c r="D56" s="43" t="str">
        <f aca="false">IF(RawData!A17&lt;TodayDay,RawData!O17,"")</f>
        <v/>
      </c>
      <c r="E56" s="43" t="str">
        <f aca="false">IF(RawData!A17&lt;TodayDay,RawData!P17,"")</f>
        <v/>
      </c>
      <c r="F56" s="43" t="str">
        <f aca="false">IF(RawData!A17&lt;TodayDay,RawData!Q17,"")</f>
        <v/>
      </c>
      <c r="G56" s="43" t="str">
        <f aca="false">IF(RawData!A17&lt;TodayDay,RawData!R17,"")</f>
        <v/>
      </c>
      <c r="H56" s="43" t="str">
        <f aca="false">IF(RawData!A17&lt;TodayDay,RawData!S17,"")</f>
        <v/>
      </c>
      <c r="I56" s="43" t="str">
        <f aca="false">IF(RawData!A17&lt;TodayDay,RawData!T17,"")</f>
        <v/>
      </c>
      <c r="J56" s="43" t="str">
        <f aca="false">IF(RawData!A17&lt;TodayDay,RawData!U17,"")</f>
        <v/>
      </c>
      <c r="K56" s="43" t="str">
        <f aca="false">IF(RawData!A17&lt;TodayDay,RawData!V17,"")</f>
        <v/>
      </c>
      <c r="L56" s="43" t="str">
        <f aca="false">IF(RawData!A17&lt;TodayDay,RawData!W17,"")</f>
        <v/>
      </c>
      <c r="M56" s="44" t="str">
        <f aca="false">IF(RawData!A17&lt;TodayDay,RawData!X17,"")</f>
        <v/>
      </c>
    </row>
    <row r="57" customFormat="false" ht="15" hidden="false" customHeight="false" outlineLevel="0" collapsed="false">
      <c r="A57" s="39"/>
      <c r="B57" s="40"/>
      <c r="C57" s="45" t="s">
        <v>32</v>
      </c>
      <c r="D57" s="43" t="str">
        <f aca="false">IF(RawData!A17&lt;TodayDay,D56-D55,"")</f>
        <v/>
      </c>
      <c r="E57" s="43" t="str">
        <f aca="false">IF(RawData!A17&lt;TodayDay,E56-E55,"")</f>
        <v/>
      </c>
      <c r="F57" s="43" t="str">
        <f aca="false">IF(RawData!A17&lt;TodayDay,F56-F55,"")</f>
        <v/>
      </c>
      <c r="G57" s="43" t="str">
        <f aca="false">IF(RawData!A17&lt;TodayDay,G56-G55,"")</f>
        <v/>
      </c>
      <c r="H57" s="43" t="str">
        <f aca="false">IF(RawData!A17&lt;TodayDay,H56-H55,"")</f>
        <v/>
      </c>
      <c r="I57" s="43" t="str">
        <f aca="false">IF(RawData!A17&lt;TodayDay,I56-I55,"")</f>
        <v/>
      </c>
      <c r="J57" s="43" t="str">
        <f aca="false">IF(RawData!A17&lt;TodayDay,J56-J55,"")</f>
        <v/>
      </c>
      <c r="K57" s="43" t="str">
        <f aca="false">IF(RawData!A17&lt;TodayDay,K56-K55,"")</f>
        <v/>
      </c>
      <c r="L57" s="43" t="str">
        <f aca="false">IF(RawData!A17&lt;TodayDay,L56-L55,"")</f>
        <v/>
      </c>
      <c r="M57" s="44" t="str">
        <f aca="false">IF(RawData!A17&lt;TodayDay,M56-M55,"")</f>
        <v/>
      </c>
    </row>
    <row r="58" customFormat="false" ht="15" hidden="false" customHeight="false" outlineLevel="0" collapsed="false">
      <c r="A58" s="39"/>
      <c r="B58" s="40" t="s">
        <v>73</v>
      </c>
      <c r="C58" s="41" t="s">
        <v>30</v>
      </c>
      <c r="D58" s="42" t="n">
        <f aca="false">RawData!E18</f>
        <v>-24273.8649</v>
      </c>
      <c r="E58" s="42" t="n">
        <f aca="false">RawData!F18</f>
        <v>76.79918</v>
      </c>
      <c r="F58" s="42" t="n">
        <f aca="false">RawData!G18</f>
        <v>3.846154</v>
      </c>
      <c r="G58" s="42" t="n">
        <f aca="false">RawData!H18</f>
        <v>6.704117</v>
      </c>
      <c r="H58" s="42" t="n">
        <f aca="false">RawData!I18</f>
        <v>4.748597</v>
      </c>
      <c r="I58" s="42" t="n">
        <f aca="false">RawData!J18</f>
        <v>6.198584</v>
      </c>
      <c r="J58" s="42" t="n">
        <f aca="false">RawData!K18</f>
        <v>0</v>
      </c>
      <c r="K58" s="42" t="n">
        <f aca="false">RawData!L18</f>
        <v>0</v>
      </c>
      <c r="L58" s="43" t="n">
        <f aca="false">RawData!M18</f>
        <v>-24175.568268</v>
      </c>
      <c r="M58" s="44" t="n">
        <f aca="false">RawData!N18</f>
        <v>-0.114196</v>
      </c>
    </row>
    <row r="59" customFormat="false" ht="15" hidden="false" customHeight="false" outlineLevel="0" collapsed="false">
      <c r="A59" s="39"/>
      <c r="B59" s="40"/>
      <c r="C59" s="40" t="s">
        <v>31</v>
      </c>
      <c r="D59" s="43" t="str">
        <f aca="false">IF(RawData!A18&lt;TodayDay,RawData!O18,"")</f>
        <v/>
      </c>
      <c r="E59" s="43" t="str">
        <f aca="false">IF(RawData!A18&lt;TodayDay,RawData!P18,"")</f>
        <v/>
      </c>
      <c r="F59" s="43" t="str">
        <f aca="false">IF(RawData!A18&lt;TodayDay,RawData!Q18,"")</f>
        <v/>
      </c>
      <c r="G59" s="43" t="str">
        <f aca="false">IF(RawData!A18&lt;TodayDay,RawData!R18,"")</f>
        <v/>
      </c>
      <c r="H59" s="43" t="str">
        <f aca="false">IF(RawData!A18&lt;TodayDay,RawData!S18,"")</f>
        <v/>
      </c>
      <c r="I59" s="43" t="str">
        <f aca="false">IF(RawData!A18&lt;TodayDay,RawData!T18,"")</f>
        <v/>
      </c>
      <c r="J59" s="43" t="str">
        <f aca="false">IF(RawData!A18&lt;TodayDay,RawData!U18,"")</f>
        <v/>
      </c>
      <c r="K59" s="43" t="str">
        <f aca="false">IF(RawData!A18&lt;TodayDay,RawData!V18,"")</f>
        <v/>
      </c>
      <c r="L59" s="43" t="str">
        <f aca="false">IF(RawData!A18&lt;TodayDay,RawData!W18,"")</f>
        <v/>
      </c>
      <c r="M59" s="44" t="str">
        <f aca="false">IF(RawData!A18&lt;TodayDay,RawData!X18,"")</f>
        <v/>
      </c>
    </row>
    <row r="60" customFormat="false" ht="15" hidden="false" customHeight="false" outlineLevel="0" collapsed="false">
      <c r="A60" s="39"/>
      <c r="B60" s="40"/>
      <c r="C60" s="45" t="s">
        <v>32</v>
      </c>
      <c r="D60" s="43" t="str">
        <f aca="false">IF(RawData!A18&lt;TodayDay,D59-D58,"")</f>
        <v/>
      </c>
      <c r="E60" s="43" t="str">
        <f aca="false">IF(RawData!A18&lt;TodayDay,E59-E58,"")</f>
        <v/>
      </c>
      <c r="F60" s="43" t="str">
        <f aca="false">IF(RawData!A18&lt;TodayDay,F59-F58,"")</f>
        <v/>
      </c>
      <c r="G60" s="43" t="str">
        <f aca="false">IF(RawData!A18&lt;TodayDay,G59-G58,"")</f>
        <v/>
      </c>
      <c r="H60" s="43" t="str">
        <f aca="false">IF(RawData!A18&lt;TodayDay,H59-H58,"")</f>
        <v/>
      </c>
      <c r="I60" s="43" t="str">
        <f aca="false">IF(RawData!A18&lt;TodayDay,I59-I58,"")</f>
        <v/>
      </c>
      <c r="J60" s="43" t="str">
        <f aca="false">IF(RawData!A18&lt;TodayDay,J59-J58,"")</f>
        <v/>
      </c>
      <c r="K60" s="43" t="str">
        <f aca="false">IF(RawData!A18&lt;TodayDay,K59-K58,"")</f>
        <v/>
      </c>
      <c r="L60" s="43" t="str">
        <f aca="false">IF(RawData!A18&lt;TodayDay,L59-L58,"")</f>
        <v/>
      </c>
      <c r="M60" s="44" t="str">
        <f aca="false">IF(RawData!A18&lt;TodayDay,M59-M58,"")</f>
        <v/>
      </c>
    </row>
    <row r="61" customFormat="false" ht="15" hidden="false" customHeight="false" outlineLevel="0" collapsed="false">
      <c r="A61" s="39"/>
      <c r="B61" s="40" t="s">
        <v>74</v>
      </c>
      <c r="C61" s="41" t="s">
        <v>30</v>
      </c>
      <c r="D61" s="42" t="n">
        <f aca="false">RawData!E19</f>
        <v>-24273.8649</v>
      </c>
      <c r="E61" s="42" t="n">
        <f aca="false">RawData!F19</f>
        <v>76.79918</v>
      </c>
      <c r="F61" s="42" t="n">
        <f aca="false">RawData!G19</f>
        <v>3.846154</v>
      </c>
      <c r="G61" s="42" t="n">
        <f aca="false">RawData!H19</f>
        <v>6.704117</v>
      </c>
      <c r="H61" s="42" t="n">
        <f aca="false">RawData!I19</f>
        <v>4.748597</v>
      </c>
      <c r="I61" s="42" t="n">
        <f aca="false">RawData!J19</f>
        <v>6.198584</v>
      </c>
      <c r="J61" s="42" t="n">
        <f aca="false">RawData!K19</f>
        <v>0</v>
      </c>
      <c r="K61" s="42" t="n">
        <f aca="false">RawData!L19</f>
        <v>0</v>
      </c>
      <c r="L61" s="43" t="n">
        <f aca="false">RawData!M19</f>
        <v>-24175.568268</v>
      </c>
      <c r="M61" s="44" t="n">
        <f aca="false">RawData!N19</f>
        <v>-0.114196</v>
      </c>
    </row>
    <row r="62" customFormat="false" ht="15" hidden="false" customHeight="false" outlineLevel="0" collapsed="false">
      <c r="A62" s="39"/>
      <c r="B62" s="40"/>
      <c r="C62" s="40" t="s">
        <v>31</v>
      </c>
      <c r="D62" s="43" t="str">
        <f aca="false">IF(RawData!A19&lt;TodayDay,RawData!O19,"")</f>
        <v/>
      </c>
      <c r="E62" s="43" t="str">
        <f aca="false">IF(RawData!A19&lt;TodayDay,RawData!P19,"")</f>
        <v/>
      </c>
      <c r="F62" s="43" t="str">
        <f aca="false">IF(RawData!A19&lt;TodayDay,RawData!Q19,"")</f>
        <v/>
      </c>
      <c r="G62" s="43" t="str">
        <f aca="false">IF(RawData!A19&lt;TodayDay,RawData!R19,"")</f>
        <v/>
      </c>
      <c r="H62" s="43" t="str">
        <f aca="false">IF(RawData!A19&lt;TodayDay,RawData!S19,"")</f>
        <v/>
      </c>
      <c r="I62" s="43" t="str">
        <f aca="false">IF(RawData!A19&lt;TodayDay,RawData!T19,"")</f>
        <v/>
      </c>
      <c r="J62" s="43" t="str">
        <f aca="false">IF(RawData!A19&lt;TodayDay,RawData!U19,"")</f>
        <v/>
      </c>
      <c r="K62" s="43" t="str">
        <f aca="false">IF(RawData!A19&lt;TodayDay,RawData!V19,"")</f>
        <v/>
      </c>
      <c r="L62" s="43" t="str">
        <f aca="false">IF(RawData!A19&lt;TodayDay,RawData!W19,"")</f>
        <v/>
      </c>
      <c r="M62" s="44" t="str">
        <f aca="false">IF(RawData!A19&lt;TodayDay,RawData!X19,"")</f>
        <v/>
      </c>
    </row>
    <row r="63" customFormat="false" ht="15" hidden="false" customHeight="false" outlineLevel="0" collapsed="false">
      <c r="A63" s="39"/>
      <c r="B63" s="40"/>
      <c r="C63" s="45" t="s">
        <v>32</v>
      </c>
      <c r="D63" s="43" t="str">
        <f aca="false">IF(RawData!A19&lt;TodayDay,D62-D61,"")</f>
        <v/>
      </c>
      <c r="E63" s="43" t="str">
        <f aca="false">IF(RawData!A19&lt;TodayDay,E62-E61,"")</f>
        <v/>
      </c>
      <c r="F63" s="43" t="str">
        <f aca="false">IF(RawData!A19&lt;TodayDay,F62-F61,"")</f>
        <v/>
      </c>
      <c r="G63" s="43" t="str">
        <f aca="false">IF(RawData!A19&lt;TodayDay,G62-G61,"")</f>
        <v/>
      </c>
      <c r="H63" s="43" t="str">
        <f aca="false">IF(RawData!A19&lt;TodayDay,H62-H61,"")</f>
        <v/>
      </c>
      <c r="I63" s="43" t="str">
        <f aca="false">IF(RawData!A19&lt;TodayDay,I62-I61,"")</f>
        <v/>
      </c>
      <c r="J63" s="43" t="str">
        <f aca="false">IF(RawData!A19&lt;TodayDay,J62-J61,"")</f>
        <v/>
      </c>
      <c r="K63" s="43" t="str">
        <f aca="false">IF(RawData!A19&lt;TodayDay,K62-K61,"")</f>
        <v/>
      </c>
      <c r="L63" s="43" t="str">
        <f aca="false">IF(RawData!A19&lt;TodayDay,L62-L61,"")</f>
        <v/>
      </c>
      <c r="M63" s="44" t="str">
        <f aca="false">IF(RawData!A19&lt;TodayDay,M62-M61,"")</f>
        <v/>
      </c>
    </row>
    <row r="64" customFormat="false" ht="15" hidden="false" customHeight="false" outlineLevel="0" collapsed="false">
      <c r="A64" s="39"/>
      <c r="B64" s="40" t="s">
        <v>75</v>
      </c>
      <c r="C64" s="41" t="s">
        <v>30</v>
      </c>
      <c r="D64" s="42" t="n">
        <f aca="false">RawData!E20</f>
        <v>-24273.8649</v>
      </c>
      <c r="E64" s="42" t="n">
        <f aca="false">RawData!F20</f>
        <v>76.79918</v>
      </c>
      <c r="F64" s="42" t="n">
        <f aca="false">RawData!G20</f>
        <v>3.846154</v>
      </c>
      <c r="G64" s="42" t="n">
        <f aca="false">RawData!H20</f>
        <v>6.704117</v>
      </c>
      <c r="H64" s="42" t="n">
        <f aca="false">RawData!I20</f>
        <v>4.748597</v>
      </c>
      <c r="I64" s="42" t="n">
        <f aca="false">RawData!J20</f>
        <v>6.198584</v>
      </c>
      <c r="J64" s="42" t="n">
        <f aca="false">RawData!K20</f>
        <v>0</v>
      </c>
      <c r="K64" s="42" t="n">
        <f aca="false">RawData!L20</f>
        <v>0</v>
      </c>
      <c r="L64" s="43" t="n">
        <f aca="false">RawData!M20</f>
        <v>-24175.568268</v>
      </c>
      <c r="M64" s="44" t="n">
        <f aca="false">RawData!N20</f>
        <v>-0.114196</v>
      </c>
    </row>
    <row r="65" customFormat="false" ht="15" hidden="false" customHeight="false" outlineLevel="0" collapsed="false">
      <c r="A65" s="39"/>
      <c r="B65" s="40"/>
      <c r="C65" s="40" t="s">
        <v>31</v>
      </c>
      <c r="D65" s="43" t="str">
        <f aca="false">IF(RawData!A20&lt;TodayDay,RawData!O20,"")</f>
        <v/>
      </c>
      <c r="E65" s="43" t="str">
        <f aca="false">IF(RawData!A20&lt;TodayDay,RawData!P20,"")</f>
        <v/>
      </c>
      <c r="F65" s="43" t="str">
        <f aca="false">IF(RawData!A20&lt;TodayDay,RawData!Q20,"")</f>
        <v/>
      </c>
      <c r="G65" s="43" t="str">
        <f aca="false">IF(RawData!A20&lt;TodayDay,RawData!R20,"")</f>
        <v/>
      </c>
      <c r="H65" s="43" t="str">
        <f aca="false">IF(RawData!A20&lt;TodayDay,RawData!S20,"")</f>
        <v/>
      </c>
      <c r="I65" s="43" t="str">
        <f aca="false">IF(RawData!A20&lt;TodayDay,RawData!T20,"")</f>
        <v/>
      </c>
      <c r="J65" s="43" t="str">
        <f aca="false">IF(RawData!A20&lt;TodayDay,RawData!U20,"")</f>
        <v/>
      </c>
      <c r="K65" s="43" t="str">
        <f aca="false">IF(RawData!A20&lt;TodayDay,RawData!V20,"")</f>
        <v/>
      </c>
      <c r="L65" s="43" t="str">
        <f aca="false">IF(RawData!A20&lt;TodayDay,RawData!W20,"")</f>
        <v/>
      </c>
      <c r="M65" s="44" t="str">
        <f aca="false">IF(RawData!A20&lt;TodayDay,RawData!X20,"")</f>
        <v/>
      </c>
    </row>
    <row r="66" customFormat="false" ht="15" hidden="false" customHeight="false" outlineLevel="0" collapsed="false">
      <c r="A66" s="39"/>
      <c r="B66" s="40"/>
      <c r="C66" s="45" t="s">
        <v>32</v>
      </c>
      <c r="D66" s="43" t="str">
        <f aca="false">IF(RawData!A20&lt;TodayDay,D65-D64,"")</f>
        <v/>
      </c>
      <c r="E66" s="43" t="str">
        <f aca="false">IF(RawData!A20&lt;TodayDay,E65-E64,"")</f>
        <v/>
      </c>
      <c r="F66" s="43" t="str">
        <f aca="false">IF(RawData!A20&lt;TodayDay,F65-F64,"")</f>
        <v/>
      </c>
      <c r="G66" s="43" t="str">
        <f aca="false">IF(RawData!A20&lt;TodayDay,G65-G64,"")</f>
        <v/>
      </c>
      <c r="H66" s="43" t="str">
        <f aca="false">IF(RawData!A20&lt;TodayDay,H65-H64,"")</f>
        <v/>
      </c>
      <c r="I66" s="43" t="str">
        <f aca="false">IF(RawData!A20&lt;TodayDay,I65-I64,"")</f>
        <v/>
      </c>
      <c r="J66" s="43" t="str">
        <f aca="false">IF(RawData!A20&lt;TodayDay,J65-J64,"")</f>
        <v/>
      </c>
      <c r="K66" s="43" t="str">
        <f aca="false">IF(RawData!A20&lt;TodayDay,K65-K64,"")</f>
        <v/>
      </c>
      <c r="L66" s="43" t="str">
        <f aca="false">IF(RawData!A20&lt;TodayDay,L65-L64,"")</f>
        <v/>
      </c>
      <c r="M66" s="44" t="str">
        <f aca="false">IF(RawData!A20&lt;TodayDay,M65-M64,"")</f>
        <v/>
      </c>
    </row>
    <row r="67" customFormat="false" ht="15" hidden="false" customHeight="false" outlineLevel="0" collapsed="false">
      <c r="A67" s="39"/>
      <c r="B67" s="46" t="s">
        <v>76</v>
      </c>
      <c r="C67" s="47" t="s">
        <v>30</v>
      </c>
      <c r="D67" s="48" t="n">
        <f aca="false">RawData!E21</f>
        <v>0</v>
      </c>
      <c r="E67" s="48" t="n">
        <f aca="false">RawData!F21</f>
        <v>76.79918</v>
      </c>
      <c r="F67" s="48" t="n">
        <f aca="false">RawData!G21</f>
        <v>0</v>
      </c>
      <c r="G67" s="48" t="n">
        <f aca="false">RawData!H21</f>
        <v>0</v>
      </c>
      <c r="H67" s="48" t="n">
        <f aca="false">RawData!I21</f>
        <v>4.748597</v>
      </c>
      <c r="I67" s="48" t="n">
        <f aca="false">RawData!J21</f>
        <v>6.198584</v>
      </c>
      <c r="J67" s="48" t="n">
        <f aca="false">RawData!K21</f>
        <v>0</v>
      </c>
      <c r="K67" s="48" t="n">
        <f aca="false">RawData!L21</f>
        <v>0</v>
      </c>
      <c r="L67" s="49" t="n">
        <f aca="false">RawData!M21</f>
        <v>87.746361</v>
      </c>
      <c r="M67" s="50" t="n">
        <f aca="false">RawData!N21</f>
        <v>0.000414</v>
      </c>
    </row>
    <row r="68" customFormat="false" ht="15" hidden="false" customHeight="false" outlineLevel="0" collapsed="false">
      <c r="A68" s="39"/>
      <c r="B68" s="46"/>
      <c r="C68" s="46" t="s">
        <v>31</v>
      </c>
      <c r="D68" s="49" t="str">
        <f aca="false">IF(RawData!A21&lt;TodayDay,RawData!O21,"")</f>
        <v/>
      </c>
      <c r="E68" s="49" t="str">
        <f aca="false">IF(RawData!A21&lt;TodayDay,RawData!P21,"")</f>
        <v/>
      </c>
      <c r="F68" s="49" t="str">
        <f aca="false">IF(RawData!A21&lt;TodayDay,RawData!Q21,"")</f>
        <v/>
      </c>
      <c r="G68" s="49" t="str">
        <f aca="false">IF(RawData!A21&lt;TodayDay,RawData!R21,"")</f>
        <v/>
      </c>
      <c r="H68" s="49" t="str">
        <f aca="false">IF(RawData!A21&lt;TodayDay,RawData!S21,"")</f>
        <v/>
      </c>
      <c r="I68" s="49" t="str">
        <f aca="false">IF(RawData!A21&lt;TodayDay,RawData!T21,"")</f>
        <v/>
      </c>
      <c r="J68" s="49" t="str">
        <f aca="false">IF(RawData!A21&lt;TodayDay,RawData!U21,"")</f>
        <v/>
      </c>
      <c r="K68" s="49" t="str">
        <f aca="false">IF(RawData!A21&lt;TodayDay,RawData!V21,"")</f>
        <v/>
      </c>
      <c r="L68" s="49" t="str">
        <f aca="false">IF(RawData!A21&lt;TodayDay,RawData!W21,"")</f>
        <v/>
      </c>
      <c r="M68" s="50" t="str">
        <f aca="false">IF(RawData!A21&lt;TodayDay,RawData!X21,"")</f>
        <v/>
      </c>
    </row>
    <row r="69" customFormat="false" ht="15" hidden="false" customHeight="false" outlineLevel="0" collapsed="false">
      <c r="A69" s="39"/>
      <c r="B69" s="46"/>
      <c r="C69" s="51" t="s">
        <v>32</v>
      </c>
      <c r="D69" s="49" t="str">
        <f aca="false">IF(RawData!A21&lt;TodayDay,D68-D67,"")</f>
        <v/>
      </c>
      <c r="E69" s="49" t="str">
        <f aca="false">IF(RawData!A21&lt;TodayDay,E68-E67,"")</f>
        <v/>
      </c>
      <c r="F69" s="49" t="str">
        <f aca="false">IF(RawData!A21&lt;TodayDay,F68-F67,"")</f>
        <v/>
      </c>
      <c r="G69" s="49" t="str">
        <f aca="false">IF(RawData!A21&lt;TodayDay,G68-G67,"")</f>
        <v/>
      </c>
      <c r="H69" s="49" t="str">
        <f aca="false">IF(RawData!A21&lt;TodayDay,H68-H67,"")</f>
        <v/>
      </c>
      <c r="I69" s="49" t="str">
        <f aca="false">IF(RawData!A21&lt;TodayDay,I68-I67,"")</f>
        <v/>
      </c>
      <c r="J69" s="49" t="str">
        <f aca="false">IF(RawData!A21&lt;TodayDay,J68-J67,"")</f>
        <v/>
      </c>
      <c r="K69" s="49" t="str">
        <f aca="false">IF(RawData!A21&lt;TodayDay,K68-K67,"")</f>
        <v/>
      </c>
      <c r="L69" s="49" t="str">
        <f aca="false">IF(RawData!A21&lt;TodayDay,L68-L67,"")</f>
        <v/>
      </c>
      <c r="M69" s="50" t="str">
        <f aca="false">IF(RawData!A21&lt;TodayDay,M68-M67,"")</f>
        <v/>
      </c>
    </row>
    <row r="70" customFormat="false" ht="15" hidden="false" customHeight="false" outlineLevel="0" collapsed="false">
      <c r="A70" s="39"/>
      <c r="B70" s="46" t="s">
        <v>77</v>
      </c>
      <c r="C70" s="47" t="s">
        <v>30</v>
      </c>
      <c r="D70" s="48" t="n">
        <f aca="false">RawData!E22</f>
        <v>0</v>
      </c>
      <c r="E70" s="48" t="n">
        <f aca="false">RawData!F22</f>
        <v>76.79918</v>
      </c>
      <c r="F70" s="48" t="n">
        <f aca="false">RawData!G22</f>
        <v>0</v>
      </c>
      <c r="G70" s="48" t="n">
        <f aca="false">RawData!H22</f>
        <v>0</v>
      </c>
      <c r="H70" s="48" t="n">
        <f aca="false">RawData!I22</f>
        <v>4.748597</v>
      </c>
      <c r="I70" s="48" t="n">
        <f aca="false">RawData!J22</f>
        <v>6.198584</v>
      </c>
      <c r="J70" s="48" t="n">
        <f aca="false">RawData!K22</f>
        <v>0</v>
      </c>
      <c r="K70" s="48" t="n">
        <f aca="false">RawData!L22</f>
        <v>0</v>
      </c>
      <c r="L70" s="49" t="n">
        <f aca="false">RawData!M22</f>
        <v>87.746361</v>
      </c>
      <c r="M70" s="50" t="n">
        <f aca="false">RawData!N22</f>
        <v>0.000296</v>
      </c>
    </row>
    <row r="71" customFormat="false" ht="15" hidden="false" customHeight="false" outlineLevel="0" collapsed="false">
      <c r="A71" s="39"/>
      <c r="B71" s="46"/>
      <c r="C71" s="46" t="s">
        <v>31</v>
      </c>
      <c r="D71" s="49" t="str">
        <f aca="false">IF(RawData!A22&lt;TodayDay,RawData!O22,"")</f>
        <v/>
      </c>
      <c r="E71" s="49" t="str">
        <f aca="false">IF(RawData!A22&lt;TodayDay,RawData!P22,"")</f>
        <v/>
      </c>
      <c r="F71" s="49" t="str">
        <f aca="false">IF(RawData!A22&lt;TodayDay,RawData!Q22,"")</f>
        <v/>
      </c>
      <c r="G71" s="49" t="str">
        <f aca="false">IF(RawData!A22&lt;TodayDay,RawData!R22,"")</f>
        <v/>
      </c>
      <c r="H71" s="49" t="str">
        <f aca="false">IF(RawData!A22&lt;TodayDay,RawData!S22,"")</f>
        <v/>
      </c>
      <c r="I71" s="49" t="str">
        <f aca="false">IF(RawData!A22&lt;TodayDay,RawData!T22,"")</f>
        <v/>
      </c>
      <c r="J71" s="49" t="str">
        <f aca="false">IF(RawData!A22&lt;TodayDay,RawData!U22,"")</f>
        <v/>
      </c>
      <c r="K71" s="49" t="str">
        <f aca="false">IF(RawData!A22&lt;TodayDay,RawData!V22,"")</f>
        <v/>
      </c>
      <c r="L71" s="49" t="str">
        <f aca="false">IF(RawData!A22&lt;TodayDay,RawData!W22,"")</f>
        <v/>
      </c>
      <c r="M71" s="50" t="str">
        <f aca="false">IF(RawData!A22&lt;TodayDay,RawData!X22,"")</f>
        <v/>
      </c>
    </row>
    <row r="72" customFormat="false" ht="15" hidden="false" customHeight="false" outlineLevel="0" collapsed="false">
      <c r="A72" s="39"/>
      <c r="B72" s="46"/>
      <c r="C72" s="51" t="s">
        <v>32</v>
      </c>
      <c r="D72" s="49" t="str">
        <f aca="false">IF(RawData!A22&lt;TodayDay,D71-D70,"")</f>
        <v/>
      </c>
      <c r="E72" s="49" t="str">
        <f aca="false">IF(RawData!A22&lt;TodayDay,E71-E70,"")</f>
        <v/>
      </c>
      <c r="F72" s="49" t="str">
        <f aca="false">IF(RawData!A22&lt;TodayDay,F71-F70,"")</f>
        <v/>
      </c>
      <c r="G72" s="49" t="str">
        <f aca="false">IF(RawData!A22&lt;TodayDay,G71-G70,"")</f>
        <v/>
      </c>
      <c r="H72" s="49" t="str">
        <f aca="false">IF(RawData!A22&lt;TodayDay,H71-H70,"")</f>
        <v/>
      </c>
      <c r="I72" s="49" t="str">
        <f aca="false">IF(RawData!A22&lt;TodayDay,I71-I70,"")</f>
        <v/>
      </c>
      <c r="J72" s="49" t="str">
        <f aca="false">IF(RawData!A22&lt;TodayDay,J71-J70,"")</f>
        <v/>
      </c>
      <c r="K72" s="49" t="str">
        <f aca="false">IF(RawData!A22&lt;TodayDay,K71-K70,"")</f>
        <v/>
      </c>
      <c r="L72" s="49" t="str">
        <f aca="false">IF(RawData!A22&lt;TodayDay,L71-L70,"")</f>
        <v/>
      </c>
      <c r="M72" s="50" t="str">
        <f aca="false">IF(RawData!A22&lt;TodayDay,M71-M70,"")</f>
        <v/>
      </c>
    </row>
    <row r="73" customFormat="false" ht="15" hidden="false" customHeight="false" outlineLevel="0" collapsed="false">
      <c r="A73" s="39" t="n">
        <v>30</v>
      </c>
      <c r="B73" s="40" t="s">
        <v>78</v>
      </c>
      <c r="C73" s="41" t="s">
        <v>30</v>
      </c>
      <c r="D73" s="42" t="n">
        <f aca="false">RawData!E23</f>
        <v>-24273.8649</v>
      </c>
      <c r="E73" s="42" t="n">
        <f aca="false">RawData!F23</f>
        <v>76.79918</v>
      </c>
      <c r="F73" s="42" t="n">
        <f aca="false">RawData!G23</f>
        <v>3.846154</v>
      </c>
      <c r="G73" s="42" t="n">
        <f aca="false">RawData!H23</f>
        <v>6.704117</v>
      </c>
      <c r="H73" s="42" t="n">
        <f aca="false">RawData!I23</f>
        <v>4.748597</v>
      </c>
      <c r="I73" s="42" t="n">
        <f aca="false">RawData!J23</f>
        <v>6.198584</v>
      </c>
      <c r="J73" s="42" t="n">
        <f aca="false">RawData!K23</f>
        <v>0</v>
      </c>
      <c r="K73" s="42" t="n">
        <f aca="false">RawData!L23</f>
        <v>0</v>
      </c>
      <c r="L73" s="43" t="n">
        <f aca="false">RawData!M23</f>
        <v>-24175.568268</v>
      </c>
      <c r="M73" s="44" t="n">
        <f aca="false">RawData!N23</f>
        <v>-0.114196</v>
      </c>
    </row>
    <row r="74" customFormat="false" ht="15" hidden="false" customHeight="false" outlineLevel="0" collapsed="false">
      <c r="A74" s="39"/>
      <c r="B74" s="40"/>
      <c r="C74" s="40" t="s">
        <v>31</v>
      </c>
      <c r="D74" s="43" t="str">
        <f aca="false">IF(RawData!A23&lt;TodayDay,RawData!O23,"")</f>
        <v/>
      </c>
      <c r="E74" s="43" t="str">
        <f aca="false">IF(RawData!A23&lt;TodayDay,RawData!P23,"")</f>
        <v/>
      </c>
      <c r="F74" s="43" t="str">
        <f aca="false">IF(RawData!A23&lt;TodayDay,RawData!Q23,"")</f>
        <v/>
      </c>
      <c r="G74" s="43" t="str">
        <f aca="false">IF(RawData!A23&lt;TodayDay,RawData!R23,"")</f>
        <v/>
      </c>
      <c r="H74" s="43" t="str">
        <f aca="false">IF(RawData!A23&lt;TodayDay,RawData!S23,"")</f>
        <v/>
      </c>
      <c r="I74" s="43" t="str">
        <f aca="false">IF(RawData!A23&lt;TodayDay,RawData!T23,"")</f>
        <v/>
      </c>
      <c r="J74" s="43" t="str">
        <f aca="false">IF(RawData!A23&lt;TodayDay,RawData!U23,"")</f>
        <v/>
      </c>
      <c r="K74" s="43" t="str">
        <f aca="false">IF(RawData!A23&lt;TodayDay,RawData!V23,"")</f>
        <v/>
      </c>
      <c r="L74" s="43" t="str">
        <f aca="false">IF(RawData!A23&lt;TodayDay,RawData!W23,"")</f>
        <v/>
      </c>
      <c r="M74" s="44" t="str">
        <f aca="false">IF(RawData!A23&lt;TodayDay,RawData!X23,"")</f>
        <v/>
      </c>
    </row>
    <row r="75" customFormat="false" ht="15" hidden="false" customHeight="false" outlineLevel="0" collapsed="false">
      <c r="A75" s="39"/>
      <c r="B75" s="40"/>
      <c r="C75" s="45" t="s">
        <v>32</v>
      </c>
      <c r="D75" s="43" t="str">
        <f aca="false">IF(RawData!A23&lt;TodayDay,D74-D73,"")</f>
        <v/>
      </c>
      <c r="E75" s="43" t="str">
        <f aca="false">IF(RawData!A23&lt;TodayDay,E74-E73,"")</f>
        <v/>
      </c>
      <c r="F75" s="43" t="str">
        <f aca="false">IF(RawData!A23&lt;TodayDay,F74-F73,"")</f>
        <v/>
      </c>
      <c r="G75" s="43" t="str">
        <f aca="false">IF(RawData!A23&lt;TodayDay,G74-G73,"")</f>
        <v/>
      </c>
      <c r="H75" s="43" t="str">
        <f aca="false">IF(RawData!A23&lt;TodayDay,H74-H73,"")</f>
        <v/>
      </c>
      <c r="I75" s="43" t="str">
        <f aca="false">IF(RawData!A23&lt;TodayDay,I74-I73,"")</f>
        <v/>
      </c>
      <c r="J75" s="43" t="str">
        <f aca="false">IF(RawData!A23&lt;TodayDay,J74-J73,"")</f>
        <v/>
      </c>
      <c r="K75" s="43" t="str">
        <f aca="false">IF(RawData!A23&lt;TodayDay,K74-K73,"")</f>
        <v/>
      </c>
      <c r="L75" s="43" t="str">
        <f aca="false">IF(RawData!A23&lt;TodayDay,L74-L73,"")</f>
        <v/>
      </c>
      <c r="M75" s="44" t="str">
        <f aca="false">IF(RawData!A23&lt;TodayDay,M74-M73,"")</f>
        <v/>
      </c>
    </row>
    <row r="76" customFormat="false" ht="15" hidden="false" customHeight="false" outlineLevel="0" collapsed="false">
      <c r="A76" s="39"/>
      <c r="B76" s="40" t="s">
        <v>79</v>
      </c>
      <c r="C76" s="41" t="s">
        <v>30</v>
      </c>
      <c r="D76" s="42" t="n">
        <f aca="false">RawData!E24</f>
        <v>-24273.8649</v>
      </c>
      <c r="E76" s="42" t="n">
        <f aca="false">RawData!F24</f>
        <v>76.79918</v>
      </c>
      <c r="F76" s="42" t="n">
        <f aca="false">RawData!G24</f>
        <v>3.846154</v>
      </c>
      <c r="G76" s="42" t="n">
        <f aca="false">RawData!H24</f>
        <v>6.704117</v>
      </c>
      <c r="H76" s="42" t="n">
        <f aca="false">RawData!I24</f>
        <v>4.748597</v>
      </c>
      <c r="I76" s="42" t="n">
        <f aca="false">RawData!J24</f>
        <v>6.198584</v>
      </c>
      <c r="J76" s="42" t="n">
        <f aca="false">RawData!K24</f>
        <v>0</v>
      </c>
      <c r="K76" s="42" t="n">
        <f aca="false">RawData!L24</f>
        <v>0</v>
      </c>
      <c r="L76" s="43" t="n">
        <f aca="false">RawData!M24</f>
        <v>-24175.568268</v>
      </c>
      <c r="M76" s="44" t="n">
        <f aca="false">RawData!N24</f>
        <v>-0.114196</v>
      </c>
    </row>
    <row r="77" customFormat="false" ht="15" hidden="false" customHeight="false" outlineLevel="0" collapsed="false">
      <c r="A77" s="39"/>
      <c r="B77" s="40"/>
      <c r="C77" s="40" t="s">
        <v>31</v>
      </c>
      <c r="D77" s="43" t="str">
        <f aca="false">IF(RawData!A24&lt;TodayDay,RawData!O24,"")</f>
        <v/>
      </c>
      <c r="E77" s="43" t="str">
        <f aca="false">IF(RawData!A24&lt;TodayDay,RawData!P24,"")</f>
        <v/>
      </c>
      <c r="F77" s="43" t="str">
        <f aca="false">IF(RawData!A24&lt;TodayDay,RawData!Q24,"")</f>
        <v/>
      </c>
      <c r="G77" s="43" t="str">
        <f aca="false">IF(RawData!A24&lt;TodayDay,RawData!R24,"")</f>
        <v/>
      </c>
      <c r="H77" s="43" t="str">
        <f aca="false">IF(RawData!A24&lt;TodayDay,RawData!S24,"")</f>
        <v/>
      </c>
      <c r="I77" s="43" t="str">
        <f aca="false">IF(RawData!A24&lt;TodayDay,RawData!T24,"")</f>
        <v/>
      </c>
      <c r="J77" s="43" t="str">
        <f aca="false">IF(RawData!A24&lt;TodayDay,RawData!U24,"")</f>
        <v/>
      </c>
      <c r="K77" s="43" t="str">
        <f aca="false">IF(RawData!A24&lt;TodayDay,RawData!V24,"")</f>
        <v/>
      </c>
      <c r="L77" s="43" t="str">
        <f aca="false">IF(RawData!A24&lt;TodayDay,RawData!W24,"")</f>
        <v/>
      </c>
      <c r="M77" s="44" t="str">
        <f aca="false">IF(RawData!A24&lt;TodayDay,RawData!X24,"")</f>
        <v/>
      </c>
    </row>
    <row r="78" customFormat="false" ht="15" hidden="false" customHeight="false" outlineLevel="0" collapsed="false">
      <c r="A78" s="39"/>
      <c r="B78" s="40"/>
      <c r="C78" s="45" t="s">
        <v>32</v>
      </c>
      <c r="D78" s="43" t="str">
        <f aca="false">IF(RawData!A24&lt;TodayDay,D77-D76,"")</f>
        <v/>
      </c>
      <c r="E78" s="43" t="str">
        <f aca="false">IF(RawData!A24&lt;TodayDay,E77-E76,"")</f>
        <v/>
      </c>
      <c r="F78" s="43" t="str">
        <f aca="false">IF(RawData!A24&lt;TodayDay,F77-F76,"")</f>
        <v/>
      </c>
      <c r="G78" s="43" t="str">
        <f aca="false">IF(RawData!A24&lt;TodayDay,G77-G76,"")</f>
        <v/>
      </c>
      <c r="H78" s="43" t="str">
        <f aca="false">IF(RawData!A24&lt;TodayDay,H77-H76,"")</f>
        <v/>
      </c>
      <c r="I78" s="43" t="str">
        <f aca="false">IF(RawData!A24&lt;TodayDay,I77-I76,"")</f>
        <v/>
      </c>
      <c r="J78" s="43" t="str">
        <f aca="false">IF(RawData!A24&lt;TodayDay,J77-J76,"")</f>
        <v/>
      </c>
      <c r="K78" s="43" t="str">
        <f aca="false">IF(RawData!A24&lt;TodayDay,K77-K76,"")</f>
        <v/>
      </c>
      <c r="L78" s="43" t="str">
        <f aca="false">IF(RawData!A24&lt;TodayDay,L77-L76,"")</f>
        <v/>
      </c>
      <c r="M78" s="44" t="str">
        <f aca="false">IF(RawData!A24&lt;TodayDay,M77-M76,"")</f>
        <v/>
      </c>
    </row>
    <row r="79" customFormat="false" ht="15" hidden="false" customHeight="false" outlineLevel="0" collapsed="false">
      <c r="A79" s="39"/>
      <c r="B79" s="40" t="s">
        <v>80</v>
      </c>
      <c r="C79" s="41" t="s">
        <v>30</v>
      </c>
      <c r="D79" s="42" t="n">
        <f aca="false">RawData!E25</f>
        <v>-24273.8649</v>
      </c>
      <c r="E79" s="42" t="n">
        <f aca="false">RawData!F25</f>
        <v>76.79918</v>
      </c>
      <c r="F79" s="42" t="n">
        <f aca="false">RawData!G25</f>
        <v>3.846154</v>
      </c>
      <c r="G79" s="42" t="n">
        <f aca="false">RawData!H25</f>
        <v>6.704117</v>
      </c>
      <c r="H79" s="42" t="n">
        <f aca="false">RawData!I25</f>
        <v>4.748597</v>
      </c>
      <c r="I79" s="42" t="n">
        <f aca="false">RawData!J25</f>
        <v>6.198584</v>
      </c>
      <c r="J79" s="42" t="n">
        <f aca="false">RawData!K25</f>
        <v>0</v>
      </c>
      <c r="K79" s="42" t="n">
        <f aca="false">RawData!L25</f>
        <v>0</v>
      </c>
      <c r="L79" s="43" t="n">
        <f aca="false">RawData!M25</f>
        <v>-24175.568268</v>
      </c>
      <c r="M79" s="44" t="n">
        <f aca="false">RawData!N25</f>
        <v>-0.114196</v>
      </c>
    </row>
    <row r="80" customFormat="false" ht="15" hidden="false" customHeight="false" outlineLevel="0" collapsed="false">
      <c r="A80" s="39"/>
      <c r="B80" s="40"/>
      <c r="C80" s="40" t="s">
        <v>31</v>
      </c>
      <c r="D80" s="43" t="str">
        <f aca="false">IF(RawData!A25&lt;TodayDay,RawData!O25,"")</f>
        <v/>
      </c>
      <c r="E80" s="43" t="str">
        <f aca="false">IF(RawData!A25&lt;TodayDay,RawData!P25,"")</f>
        <v/>
      </c>
      <c r="F80" s="43" t="str">
        <f aca="false">IF(RawData!A25&lt;TodayDay,RawData!Q25,"")</f>
        <v/>
      </c>
      <c r="G80" s="43" t="str">
        <f aca="false">IF(RawData!A25&lt;TodayDay,RawData!R25,"")</f>
        <v/>
      </c>
      <c r="H80" s="43" t="str">
        <f aca="false">IF(RawData!A25&lt;TodayDay,RawData!S25,"")</f>
        <v/>
      </c>
      <c r="I80" s="43" t="str">
        <f aca="false">IF(RawData!A25&lt;TodayDay,RawData!T25,"")</f>
        <v/>
      </c>
      <c r="J80" s="43" t="str">
        <f aca="false">IF(RawData!A25&lt;TodayDay,RawData!U25,"")</f>
        <v/>
      </c>
      <c r="K80" s="43" t="str">
        <f aca="false">IF(RawData!A25&lt;TodayDay,RawData!V25,"")</f>
        <v/>
      </c>
      <c r="L80" s="43" t="str">
        <f aca="false">IF(RawData!A25&lt;TodayDay,RawData!W25,"")</f>
        <v/>
      </c>
      <c r="M80" s="44" t="str">
        <f aca="false">IF(RawData!A25&lt;TodayDay,RawData!X25,"")</f>
        <v/>
      </c>
    </row>
    <row r="81" customFormat="false" ht="15" hidden="false" customHeight="false" outlineLevel="0" collapsed="false">
      <c r="A81" s="39"/>
      <c r="B81" s="40"/>
      <c r="C81" s="45" t="s">
        <v>32</v>
      </c>
      <c r="D81" s="43" t="str">
        <f aca="false">IF(RawData!A25&lt;TodayDay,D80-D79,"")</f>
        <v/>
      </c>
      <c r="E81" s="43" t="str">
        <f aca="false">IF(RawData!A25&lt;TodayDay,E80-E79,"")</f>
        <v/>
      </c>
      <c r="F81" s="43" t="str">
        <f aca="false">IF(RawData!A25&lt;TodayDay,F80-F79,"")</f>
        <v/>
      </c>
      <c r="G81" s="43" t="str">
        <f aca="false">IF(RawData!A25&lt;TodayDay,G80-G79,"")</f>
        <v/>
      </c>
      <c r="H81" s="43" t="str">
        <f aca="false">IF(RawData!A25&lt;TodayDay,H80-H79,"")</f>
        <v/>
      </c>
      <c r="I81" s="43" t="str">
        <f aca="false">IF(RawData!A25&lt;TodayDay,I80-I79,"")</f>
        <v/>
      </c>
      <c r="J81" s="43" t="str">
        <f aca="false">IF(RawData!A25&lt;TodayDay,J80-J79,"")</f>
        <v/>
      </c>
      <c r="K81" s="43" t="str">
        <f aca="false">IF(RawData!A25&lt;TodayDay,K80-K79,"")</f>
        <v/>
      </c>
      <c r="L81" s="43" t="str">
        <f aca="false">IF(RawData!A25&lt;TodayDay,L80-L79,"")</f>
        <v/>
      </c>
      <c r="M81" s="44" t="str">
        <f aca="false">IF(RawData!A25&lt;TodayDay,M80-M79,"")</f>
        <v/>
      </c>
    </row>
    <row r="82" customFormat="false" ht="15" hidden="false" customHeight="false" outlineLevel="0" collapsed="false">
      <c r="A82" s="39"/>
      <c r="B82" s="40" t="s">
        <v>81</v>
      </c>
      <c r="C82" s="41" t="s">
        <v>30</v>
      </c>
      <c r="D82" s="42" t="n">
        <f aca="false">RawData!E26</f>
        <v>-24273.8649</v>
      </c>
      <c r="E82" s="42" t="n">
        <f aca="false">RawData!F26</f>
        <v>76.79918</v>
      </c>
      <c r="F82" s="42" t="n">
        <f aca="false">RawData!G26</f>
        <v>3.846154</v>
      </c>
      <c r="G82" s="42" t="n">
        <f aca="false">RawData!H26</f>
        <v>6.704117</v>
      </c>
      <c r="H82" s="42" t="n">
        <f aca="false">RawData!I26</f>
        <v>4.748597</v>
      </c>
      <c r="I82" s="42" t="n">
        <f aca="false">RawData!J26</f>
        <v>6.198584</v>
      </c>
      <c r="J82" s="42" t="n">
        <f aca="false">RawData!K26</f>
        <v>0</v>
      </c>
      <c r="K82" s="42" t="n">
        <f aca="false">RawData!L26</f>
        <v>0</v>
      </c>
      <c r="L82" s="43" t="n">
        <f aca="false">RawData!M26</f>
        <v>-24175.568268</v>
      </c>
      <c r="M82" s="44" t="n">
        <f aca="false">RawData!N26</f>
        <v>-0.114196</v>
      </c>
    </row>
    <row r="83" customFormat="false" ht="15" hidden="false" customHeight="false" outlineLevel="0" collapsed="false">
      <c r="A83" s="39"/>
      <c r="B83" s="40"/>
      <c r="C83" s="40" t="s">
        <v>31</v>
      </c>
      <c r="D83" s="43" t="str">
        <f aca="false">IF(RawData!A26&lt;TodayDay,RawData!O26,"")</f>
        <v/>
      </c>
      <c r="E83" s="43" t="str">
        <f aca="false">IF(RawData!A26&lt;TodayDay,RawData!P26,"")</f>
        <v/>
      </c>
      <c r="F83" s="43" t="str">
        <f aca="false">IF(RawData!A26&lt;TodayDay,RawData!Q26,"")</f>
        <v/>
      </c>
      <c r="G83" s="43" t="str">
        <f aca="false">IF(RawData!A26&lt;TodayDay,RawData!R26,"")</f>
        <v/>
      </c>
      <c r="H83" s="43" t="str">
        <f aca="false">IF(RawData!A26&lt;TodayDay,RawData!S26,"")</f>
        <v/>
      </c>
      <c r="I83" s="43" t="str">
        <f aca="false">IF(RawData!A26&lt;TodayDay,RawData!T26,"")</f>
        <v/>
      </c>
      <c r="J83" s="43" t="str">
        <f aca="false">IF(RawData!A26&lt;TodayDay,RawData!U26,"")</f>
        <v/>
      </c>
      <c r="K83" s="43" t="str">
        <f aca="false">IF(RawData!A26&lt;TodayDay,RawData!V26,"")</f>
        <v/>
      </c>
      <c r="L83" s="43" t="str">
        <f aca="false">IF(RawData!A26&lt;TodayDay,RawData!W26,"")</f>
        <v/>
      </c>
      <c r="M83" s="44" t="str">
        <f aca="false">IF(RawData!A26&lt;TodayDay,RawData!X26,"")</f>
        <v/>
      </c>
    </row>
    <row r="84" customFormat="false" ht="15" hidden="false" customHeight="false" outlineLevel="0" collapsed="false">
      <c r="A84" s="39"/>
      <c r="B84" s="40"/>
      <c r="C84" s="45" t="s">
        <v>32</v>
      </c>
      <c r="D84" s="43" t="str">
        <f aca="false">IF(RawData!A26&lt;TodayDay,D83-D82,"")</f>
        <v/>
      </c>
      <c r="E84" s="43" t="str">
        <f aca="false">IF(RawData!A26&lt;TodayDay,E83-E82,"")</f>
        <v/>
      </c>
      <c r="F84" s="43" t="str">
        <f aca="false">IF(RawData!A26&lt;TodayDay,F83-F82,"")</f>
        <v/>
      </c>
      <c r="G84" s="43" t="str">
        <f aca="false">IF(RawData!A26&lt;TodayDay,G83-G82,"")</f>
        <v/>
      </c>
      <c r="H84" s="43" t="str">
        <f aca="false">IF(RawData!A26&lt;TodayDay,H83-H82,"")</f>
        <v/>
      </c>
      <c r="I84" s="43" t="str">
        <f aca="false">IF(RawData!A26&lt;TodayDay,I83-I82,"")</f>
        <v/>
      </c>
      <c r="J84" s="43" t="str">
        <f aca="false">IF(RawData!A26&lt;TodayDay,J83-J82,"")</f>
        <v/>
      </c>
      <c r="K84" s="43" t="str">
        <f aca="false">IF(RawData!A26&lt;TodayDay,K83-K82,"")</f>
        <v/>
      </c>
      <c r="L84" s="43" t="str">
        <f aca="false">IF(RawData!A26&lt;TodayDay,L83-L82,"")</f>
        <v/>
      </c>
      <c r="M84" s="44" t="str">
        <f aca="false">IF(RawData!A26&lt;TodayDay,M83-M82,"")</f>
        <v/>
      </c>
    </row>
    <row r="85" customFormat="false" ht="15" hidden="false" customHeight="false" outlineLevel="0" collapsed="false">
      <c r="A85" s="39"/>
      <c r="B85" s="40" t="s">
        <v>82</v>
      </c>
      <c r="C85" s="41" t="s">
        <v>30</v>
      </c>
      <c r="D85" s="42" t="n">
        <f aca="false">RawData!E27</f>
        <v>-24273.8649</v>
      </c>
      <c r="E85" s="42" t="n">
        <f aca="false">RawData!F27</f>
        <v>76.79918</v>
      </c>
      <c r="F85" s="42" t="n">
        <f aca="false">RawData!G27</f>
        <v>3.846154</v>
      </c>
      <c r="G85" s="42" t="n">
        <f aca="false">RawData!H27</f>
        <v>6.704117</v>
      </c>
      <c r="H85" s="42" t="n">
        <f aca="false">RawData!I27</f>
        <v>4.748597</v>
      </c>
      <c r="I85" s="42" t="n">
        <f aca="false">RawData!J27</f>
        <v>6.198584</v>
      </c>
      <c r="J85" s="42" t="n">
        <f aca="false">RawData!K27</f>
        <v>0</v>
      </c>
      <c r="K85" s="42" t="n">
        <f aca="false">RawData!L27</f>
        <v>0</v>
      </c>
      <c r="L85" s="43" t="n">
        <f aca="false">RawData!M27</f>
        <v>-24175.568268</v>
      </c>
      <c r="M85" s="44" t="n">
        <f aca="false">RawData!N27</f>
        <v>-0.114196</v>
      </c>
    </row>
    <row r="86" customFormat="false" ht="15" hidden="false" customHeight="false" outlineLevel="0" collapsed="false">
      <c r="A86" s="39"/>
      <c r="B86" s="40"/>
      <c r="C86" s="40" t="s">
        <v>31</v>
      </c>
      <c r="D86" s="43" t="str">
        <f aca="false">IF(RawData!A27&lt;TodayDay,RawData!O27,"")</f>
        <v/>
      </c>
      <c r="E86" s="43" t="str">
        <f aca="false">IF(RawData!A27&lt;TodayDay,RawData!P27,"")</f>
        <v/>
      </c>
      <c r="F86" s="43" t="str">
        <f aca="false">IF(RawData!A27&lt;TodayDay,RawData!Q27,"")</f>
        <v/>
      </c>
      <c r="G86" s="43" t="str">
        <f aca="false">IF(RawData!A27&lt;TodayDay,RawData!R27,"")</f>
        <v/>
      </c>
      <c r="H86" s="43" t="str">
        <f aca="false">IF(RawData!A27&lt;TodayDay,RawData!S27,"")</f>
        <v/>
      </c>
      <c r="I86" s="43" t="str">
        <f aca="false">IF(RawData!A27&lt;TodayDay,RawData!T27,"")</f>
        <v/>
      </c>
      <c r="J86" s="43" t="str">
        <f aca="false">IF(RawData!A27&lt;TodayDay,RawData!U27,"")</f>
        <v/>
      </c>
      <c r="K86" s="43" t="str">
        <f aca="false">IF(RawData!A27&lt;TodayDay,RawData!V27,"")</f>
        <v/>
      </c>
      <c r="L86" s="43" t="str">
        <f aca="false">IF(RawData!A27&lt;TodayDay,RawData!W27,"")</f>
        <v/>
      </c>
      <c r="M86" s="44" t="str">
        <f aca="false">IF(RawData!A27&lt;TodayDay,RawData!X27,"")</f>
        <v/>
      </c>
    </row>
    <row r="87" customFormat="false" ht="15" hidden="false" customHeight="false" outlineLevel="0" collapsed="false">
      <c r="A87" s="39"/>
      <c r="B87" s="40"/>
      <c r="C87" s="45" t="s">
        <v>32</v>
      </c>
      <c r="D87" s="43" t="str">
        <f aca="false">IF(RawData!A27&lt;TodayDay,D86-D85,"")</f>
        <v/>
      </c>
      <c r="E87" s="43" t="str">
        <f aca="false">IF(RawData!A27&lt;TodayDay,E86-E85,"")</f>
        <v/>
      </c>
      <c r="F87" s="43" t="str">
        <f aca="false">IF(RawData!A27&lt;TodayDay,F86-F85,"")</f>
        <v/>
      </c>
      <c r="G87" s="43" t="str">
        <f aca="false">IF(RawData!A27&lt;TodayDay,G86-G85,"")</f>
        <v/>
      </c>
      <c r="H87" s="43" t="str">
        <f aca="false">IF(RawData!A27&lt;TodayDay,H86-H85,"")</f>
        <v/>
      </c>
      <c r="I87" s="43" t="str">
        <f aca="false">IF(RawData!A27&lt;TodayDay,I86-I85,"")</f>
        <v/>
      </c>
      <c r="J87" s="43" t="str">
        <f aca="false">IF(RawData!A27&lt;TodayDay,J86-J85,"")</f>
        <v/>
      </c>
      <c r="K87" s="43" t="str">
        <f aca="false">IF(RawData!A27&lt;TodayDay,K86-K85,"")</f>
        <v/>
      </c>
      <c r="L87" s="43" t="str">
        <f aca="false">IF(RawData!A27&lt;TodayDay,L86-L85,"")</f>
        <v/>
      </c>
      <c r="M87" s="44" t="str">
        <f aca="false">IF(RawData!A27&lt;TodayDay,M86-M85,"")</f>
        <v/>
      </c>
    </row>
    <row r="88" customFormat="false" ht="15" hidden="false" customHeight="false" outlineLevel="0" collapsed="false">
      <c r="A88" s="39"/>
      <c r="B88" s="46" t="s">
        <v>83</v>
      </c>
      <c r="C88" s="47" t="s">
        <v>30</v>
      </c>
      <c r="D88" s="48" t="n">
        <f aca="false">RawData!E28</f>
        <v>0</v>
      </c>
      <c r="E88" s="48" t="n">
        <f aca="false">RawData!F28</f>
        <v>76.79918</v>
      </c>
      <c r="F88" s="48" t="n">
        <f aca="false">RawData!G28</f>
        <v>0</v>
      </c>
      <c r="G88" s="48" t="n">
        <f aca="false">RawData!H28</f>
        <v>0</v>
      </c>
      <c r="H88" s="48" t="n">
        <f aca="false">RawData!I28</f>
        <v>4.748597</v>
      </c>
      <c r="I88" s="48" t="n">
        <f aca="false">RawData!J28</f>
        <v>6.198584</v>
      </c>
      <c r="J88" s="48" t="n">
        <f aca="false">RawData!K28</f>
        <v>0</v>
      </c>
      <c r="K88" s="48" t="n">
        <f aca="false">RawData!L28</f>
        <v>0</v>
      </c>
      <c r="L88" s="49" t="n">
        <f aca="false">RawData!M28</f>
        <v>87.746361</v>
      </c>
      <c r="M88" s="50" t="n">
        <f aca="false">RawData!N28</f>
        <v>0.000414</v>
      </c>
    </row>
    <row r="89" customFormat="false" ht="15" hidden="false" customHeight="false" outlineLevel="0" collapsed="false">
      <c r="A89" s="39"/>
      <c r="B89" s="46"/>
      <c r="C89" s="46" t="s">
        <v>31</v>
      </c>
      <c r="D89" s="49" t="str">
        <f aca="false">IF(RawData!A28&lt;TodayDay,RawData!O28,"")</f>
        <v/>
      </c>
      <c r="E89" s="49" t="str">
        <f aca="false">IF(RawData!A28&lt;TodayDay,RawData!P28,"")</f>
        <v/>
      </c>
      <c r="F89" s="49" t="str">
        <f aca="false">IF(RawData!A28&lt;TodayDay,RawData!Q28,"")</f>
        <v/>
      </c>
      <c r="G89" s="49" t="str">
        <f aca="false">IF(RawData!A28&lt;TodayDay,RawData!R28,"")</f>
        <v/>
      </c>
      <c r="H89" s="49" t="str">
        <f aca="false">IF(RawData!A28&lt;TodayDay,RawData!S28,"")</f>
        <v/>
      </c>
      <c r="I89" s="49" t="str">
        <f aca="false">IF(RawData!A28&lt;TodayDay,RawData!T28,"")</f>
        <v/>
      </c>
      <c r="J89" s="49" t="str">
        <f aca="false">IF(RawData!A28&lt;TodayDay,RawData!U28,"")</f>
        <v/>
      </c>
      <c r="K89" s="49" t="str">
        <f aca="false">IF(RawData!A28&lt;TodayDay,RawData!V28,"")</f>
        <v/>
      </c>
      <c r="L89" s="49" t="str">
        <f aca="false">IF(RawData!A28&lt;TodayDay,RawData!W28,"")</f>
        <v/>
      </c>
      <c r="M89" s="50" t="str">
        <f aca="false">IF(RawData!A28&lt;TodayDay,RawData!X28,"")</f>
        <v/>
      </c>
    </row>
    <row r="90" customFormat="false" ht="15" hidden="false" customHeight="false" outlineLevel="0" collapsed="false">
      <c r="A90" s="39"/>
      <c r="B90" s="46"/>
      <c r="C90" s="51" t="s">
        <v>32</v>
      </c>
      <c r="D90" s="49" t="str">
        <f aca="false">IF(RawData!A28&lt;TodayDay,D89-D88,"")</f>
        <v/>
      </c>
      <c r="E90" s="49" t="str">
        <f aca="false">IF(RawData!A28&lt;TodayDay,E89-E88,"")</f>
        <v/>
      </c>
      <c r="F90" s="49" t="str">
        <f aca="false">IF(RawData!A28&lt;TodayDay,F89-F88,"")</f>
        <v/>
      </c>
      <c r="G90" s="49" t="str">
        <f aca="false">IF(RawData!A28&lt;TodayDay,G89-G88,"")</f>
        <v/>
      </c>
      <c r="H90" s="49" t="str">
        <f aca="false">IF(RawData!A28&lt;TodayDay,H89-H88,"")</f>
        <v/>
      </c>
      <c r="I90" s="49" t="str">
        <f aca="false">IF(RawData!A28&lt;TodayDay,I89-I88,"")</f>
        <v/>
      </c>
      <c r="J90" s="49" t="str">
        <f aca="false">IF(RawData!A28&lt;TodayDay,J89-J88,"")</f>
        <v/>
      </c>
      <c r="K90" s="49" t="str">
        <f aca="false">IF(RawData!A28&lt;TodayDay,K89-K88,"")</f>
        <v/>
      </c>
      <c r="L90" s="49" t="str">
        <f aca="false">IF(RawData!A28&lt;TodayDay,L89-L88,"")</f>
        <v/>
      </c>
      <c r="M90" s="50" t="str">
        <f aca="false">IF(RawData!A28&lt;TodayDay,M89-M88,"")</f>
        <v/>
      </c>
    </row>
    <row r="91" customFormat="false" ht="15" hidden="false" customHeight="false" outlineLevel="0" collapsed="false">
      <c r="A91" s="39"/>
      <c r="B91" s="46" t="s">
        <v>84</v>
      </c>
      <c r="C91" s="47" t="s">
        <v>30</v>
      </c>
      <c r="D91" s="48" t="n">
        <f aca="false">RawData!E29</f>
        <v>0</v>
      </c>
      <c r="E91" s="48" t="n">
        <f aca="false">RawData!F29</f>
        <v>76.79918</v>
      </c>
      <c r="F91" s="48" t="n">
        <f aca="false">RawData!G29</f>
        <v>0</v>
      </c>
      <c r="G91" s="48" t="n">
        <f aca="false">RawData!H29</f>
        <v>0</v>
      </c>
      <c r="H91" s="48" t="n">
        <f aca="false">RawData!I29</f>
        <v>4.748597</v>
      </c>
      <c r="I91" s="48" t="n">
        <f aca="false">RawData!J29</f>
        <v>6.198584</v>
      </c>
      <c r="J91" s="48" t="n">
        <f aca="false">RawData!K29</f>
        <v>0</v>
      </c>
      <c r="K91" s="48" t="n">
        <f aca="false">RawData!L29</f>
        <v>0</v>
      </c>
      <c r="L91" s="49" t="n">
        <f aca="false">RawData!M29</f>
        <v>87.746361</v>
      </c>
      <c r="M91" s="50" t="n">
        <f aca="false">RawData!N29</f>
        <v>0.000414</v>
      </c>
    </row>
    <row r="92" customFormat="false" ht="15" hidden="false" customHeight="false" outlineLevel="0" collapsed="false">
      <c r="A92" s="39"/>
      <c r="B92" s="46"/>
      <c r="C92" s="46" t="s">
        <v>31</v>
      </c>
      <c r="D92" s="49" t="str">
        <f aca="false">IF(RawData!A29&lt;TodayDay,RawData!O29,"")</f>
        <v/>
      </c>
      <c r="E92" s="49" t="str">
        <f aca="false">IF(RawData!A29&lt;TodayDay,RawData!P29,"")</f>
        <v/>
      </c>
      <c r="F92" s="49" t="str">
        <f aca="false">IF(RawData!A29&lt;TodayDay,RawData!Q29,"")</f>
        <v/>
      </c>
      <c r="G92" s="49" t="str">
        <f aca="false">IF(RawData!A29&lt;TodayDay,RawData!R29,"")</f>
        <v/>
      </c>
      <c r="H92" s="49" t="str">
        <f aca="false">IF(RawData!A29&lt;TodayDay,RawData!S29,"")</f>
        <v/>
      </c>
      <c r="I92" s="49" t="str">
        <f aca="false">IF(RawData!A29&lt;TodayDay,RawData!T29,"")</f>
        <v/>
      </c>
      <c r="J92" s="49" t="str">
        <f aca="false">IF(RawData!A29&lt;TodayDay,RawData!U29,"")</f>
        <v/>
      </c>
      <c r="K92" s="49" t="str">
        <f aca="false">IF(RawData!A29&lt;TodayDay,RawData!V29,"")</f>
        <v/>
      </c>
      <c r="L92" s="49" t="str">
        <f aca="false">IF(RawData!A29&lt;TodayDay,RawData!W29,"")</f>
        <v/>
      </c>
      <c r="M92" s="50" t="str">
        <f aca="false">IF(RawData!A29&lt;TodayDay,RawData!X29,"")</f>
        <v/>
      </c>
    </row>
    <row r="93" customFormat="false" ht="15" hidden="false" customHeight="false" outlineLevel="0" collapsed="false">
      <c r="A93" s="39"/>
      <c r="B93" s="46"/>
      <c r="C93" s="51" t="s">
        <v>32</v>
      </c>
      <c r="D93" s="49" t="str">
        <f aca="false">IF(RawData!A29&lt;TodayDay,D92-D91,"")</f>
        <v/>
      </c>
      <c r="E93" s="49" t="str">
        <f aca="false">IF(RawData!A29&lt;TodayDay,E92-E91,"")</f>
        <v/>
      </c>
      <c r="F93" s="49" t="str">
        <f aca="false">IF(RawData!A29&lt;TodayDay,F92-F91,"")</f>
        <v/>
      </c>
      <c r="G93" s="49" t="str">
        <f aca="false">IF(RawData!A29&lt;TodayDay,G92-G91,"")</f>
        <v/>
      </c>
      <c r="H93" s="49" t="str">
        <f aca="false">IF(RawData!A29&lt;TodayDay,H92-H91,"")</f>
        <v/>
      </c>
      <c r="I93" s="49" t="str">
        <f aca="false">IF(RawData!A29&lt;TodayDay,I92-I91,"")</f>
        <v/>
      </c>
      <c r="J93" s="49" t="str">
        <f aca="false">IF(RawData!A29&lt;TodayDay,J92-J91,"")</f>
        <v/>
      </c>
      <c r="K93" s="49" t="str">
        <f aca="false">IF(RawData!A29&lt;TodayDay,K92-K91,"")</f>
        <v/>
      </c>
      <c r="L93" s="49" t="str">
        <f aca="false">IF(RawData!A29&lt;TodayDay,L92-L91,"")</f>
        <v/>
      </c>
      <c r="M93" s="50" t="str">
        <f aca="false">IF(RawData!A29&lt;TodayDay,M92-M91,"")</f>
        <v/>
      </c>
    </row>
    <row r="95" customFormat="false" ht="15" hidden="false" customHeight="true" outlineLevel="0" collapsed="false">
      <c r="A95" s="52" t="s">
        <v>85</v>
      </c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</row>
    <row r="115" customFormat="false" ht="15" hidden="false" customHeight="true" outlineLevel="0" collapsed="false">
      <c r="A115" s="52" t="s">
        <v>86</v>
      </c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</row>
  </sheetData>
  <mergeCells count="49">
    <mergeCell ref="A1:M1"/>
    <mergeCell ref="A2:M2"/>
    <mergeCell ref="A4:C4"/>
    <mergeCell ref="D4:F4"/>
    <mergeCell ref="G4:I4"/>
    <mergeCell ref="J4:L4"/>
    <mergeCell ref="A5:C5"/>
    <mergeCell ref="D5:F5"/>
    <mergeCell ref="G5:I5"/>
    <mergeCell ref="J5:L5"/>
    <mergeCell ref="A6:C6"/>
    <mergeCell ref="D6:F6"/>
    <mergeCell ref="G6:I6"/>
    <mergeCell ref="J6:L6"/>
    <mergeCell ref="A8:M8"/>
    <mergeCell ref="A10:A30"/>
    <mergeCell ref="B10:B12"/>
    <mergeCell ref="B13:B15"/>
    <mergeCell ref="B16:B18"/>
    <mergeCell ref="B19:B21"/>
    <mergeCell ref="B22:B24"/>
    <mergeCell ref="B25:B27"/>
    <mergeCell ref="B28:B30"/>
    <mergeCell ref="A31:A51"/>
    <mergeCell ref="B31:B33"/>
    <mergeCell ref="B34:B36"/>
    <mergeCell ref="B37:B39"/>
    <mergeCell ref="B40:B42"/>
    <mergeCell ref="B43:B45"/>
    <mergeCell ref="B46:B48"/>
    <mergeCell ref="B49:B51"/>
    <mergeCell ref="A52:A72"/>
    <mergeCell ref="B52:B54"/>
    <mergeCell ref="B55:B57"/>
    <mergeCell ref="B58:B60"/>
    <mergeCell ref="B61:B63"/>
    <mergeCell ref="B64:B66"/>
    <mergeCell ref="B67:B69"/>
    <mergeCell ref="B70:B72"/>
    <mergeCell ref="A73:A93"/>
    <mergeCell ref="B73:B75"/>
    <mergeCell ref="B76:B78"/>
    <mergeCell ref="B79:B81"/>
    <mergeCell ref="B82:B84"/>
    <mergeCell ref="B85:B87"/>
    <mergeCell ref="B88:B90"/>
    <mergeCell ref="B91:B93"/>
    <mergeCell ref="A95:M95"/>
    <mergeCell ref="A115:M115"/>
  </mergeCells>
  <conditionalFormatting sqref="A5">
    <cfRule type="expression" priority="2" aboveAverage="0" equalAverage="0" bottom="0" percent="0" rank="0" text="" dxfId="0">
      <formula>A5&gt;A6</formula>
    </cfRule>
    <cfRule type="expression" priority="3" aboveAverage="0" equalAverage="0" bottom="0" percent="0" rank="0" text="" dxfId="1">
      <formula>A5&lt;A6</formula>
    </cfRule>
  </conditionalFormatting>
  <conditionalFormatting sqref="D5">
    <cfRule type="expression" priority="4" aboveAverage="0" equalAverage="0" bottom="0" percent="0" rank="0" text="" dxfId="0">
      <formula>D5&gt;D6</formula>
    </cfRule>
    <cfRule type="expression" priority="5" aboveAverage="0" equalAverage="0" bottom="0" percent="0" rank="0" text="" dxfId="1">
      <formula>D5&lt;D6</formula>
    </cfRule>
  </conditionalFormatting>
  <conditionalFormatting sqref="G5">
    <cfRule type="expression" priority="6" aboveAverage="0" equalAverage="0" bottom="0" percent="0" rank="0" text="" dxfId="0">
      <formula>G5&gt;G6</formula>
    </cfRule>
    <cfRule type="expression" priority="7" aboveAverage="0" equalAverage="0" bottom="0" percent="0" rank="0" text="" dxfId="1">
      <formula>G5&lt;G6</formula>
    </cfRule>
  </conditionalFormatting>
  <conditionalFormatting sqref="J5">
    <cfRule type="expression" priority="8" aboveAverage="0" equalAverage="0" bottom="0" percent="0" rank="0" text="" dxfId="0">
      <formula>J5&gt;J6</formula>
    </cfRule>
    <cfRule type="expression" priority="9" aboveAverage="0" equalAverage="0" bottom="0" percent="0" rank="0" text="" dxfId="1">
      <formula>J5&lt;J6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7"/>
    <col collapsed="false" customWidth="true" hidden="false" outlineLevel="0" max="25" min="5" style="0" width="10"/>
  </cols>
  <sheetData>
    <row r="1" customFormat="false" ht="22.35" hidden="false" customHeight="false" outlineLevel="0" collapsed="false">
      <c r="A1" s="53" t="s">
        <v>87</v>
      </c>
      <c r="B1" s="53" t="s">
        <v>88</v>
      </c>
      <c r="C1" s="53" t="s">
        <v>89</v>
      </c>
      <c r="D1" s="53" t="s">
        <v>90</v>
      </c>
      <c r="E1" s="53" t="s">
        <v>91</v>
      </c>
      <c r="F1" s="53" t="s">
        <v>92</v>
      </c>
      <c r="G1" s="53" t="s">
        <v>93</v>
      </c>
      <c r="H1" s="53" t="s">
        <v>94</v>
      </c>
      <c r="I1" s="53" t="s">
        <v>95</v>
      </c>
      <c r="J1" s="53" t="s">
        <v>96</v>
      </c>
      <c r="K1" s="53" t="s">
        <v>97</v>
      </c>
      <c r="L1" s="53" t="s">
        <v>98</v>
      </c>
      <c r="M1" s="53" t="s">
        <v>99</v>
      </c>
      <c r="N1" s="53" t="s">
        <v>100</v>
      </c>
      <c r="O1" s="53" t="s">
        <v>101</v>
      </c>
      <c r="P1" s="53" t="s">
        <v>102</v>
      </c>
      <c r="Q1" s="53" t="s">
        <v>103</v>
      </c>
      <c r="R1" s="53" t="s">
        <v>104</v>
      </c>
      <c r="S1" s="53" t="s">
        <v>105</v>
      </c>
      <c r="T1" s="53" t="s">
        <v>106</v>
      </c>
      <c r="U1" s="53" t="s">
        <v>107</v>
      </c>
      <c r="V1" s="53" t="s">
        <v>108</v>
      </c>
      <c r="W1" s="53" t="s">
        <v>109</v>
      </c>
      <c r="X1" s="53" t="s">
        <v>110</v>
      </c>
      <c r="Y1" s="53" t="s">
        <v>111</v>
      </c>
    </row>
    <row r="2" customFormat="false" ht="15" hidden="false" customHeight="false" outlineLevel="0" collapsed="false">
      <c r="A2" s="0" t="n">
        <v>1</v>
      </c>
      <c r="B2" s="0" t="n">
        <v>27</v>
      </c>
      <c r="C2" s="0" t="s">
        <v>57</v>
      </c>
      <c r="D2" s="54" t="b">
        <f aca="false">FALSE()</f>
        <v>0</v>
      </c>
      <c r="E2" s="55" t="n">
        <v>-24273.8649</v>
      </c>
      <c r="F2" s="55" t="n">
        <v>76.79918</v>
      </c>
      <c r="G2" s="55" t="n">
        <v>3.846154</v>
      </c>
      <c r="H2" s="55" t="n">
        <v>6.704117</v>
      </c>
      <c r="I2" s="55" t="n">
        <v>4.748597</v>
      </c>
      <c r="J2" s="55" t="n">
        <v>6.198584</v>
      </c>
      <c r="K2" s="55" t="n">
        <v>0</v>
      </c>
      <c r="L2" s="55" t="n">
        <v>0</v>
      </c>
      <c r="M2" s="56" t="n">
        <f aca="false">SUM(E2:L2)</f>
        <v>-24175.568268</v>
      </c>
      <c r="N2" s="57" t="n">
        <v>-0.114196</v>
      </c>
      <c r="O2" s="55" t="n">
        <v>-20851.79</v>
      </c>
      <c r="P2" s="55" t="n">
        <v>0</v>
      </c>
      <c r="Q2" s="55" t="n">
        <v>0</v>
      </c>
      <c r="R2" s="55" t="n">
        <v>0</v>
      </c>
      <c r="S2" s="55" t="n">
        <v>0</v>
      </c>
      <c r="T2" s="55" t="n">
        <v>466.75</v>
      </c>
      <c r="U2" s="55" t="n">
        <v>0</v>
      </c>
      <c r="V2" s="55" t="n">
        <v>0</v>
      </c>
      <c r="W2" s="56" t="n">
        <f aca="false">SUM(O2:V2)</f>
        <v>-20385.04</v>
      </c>
      <c r="X2" s="57" t="n">
        <v>-0.096291</v>
      </c>
    </row>
    <row r="3" customFormat="false" ht="15" hidden="false" customHeight="false" outlineLevel="0" collapsed="false">
      <c r="A3" s="0" t="n">
        <v>2</v>
      </c>
      <c r="B3" s="0" t="n">
        <v>27</v>
      </c>
      <c r="C3" s="0" t="s">
        <v>58</v>
      </c>
      <c r="D3" s="54" t="b">
        <f aca="false">FALSE()</f>
        <v>0</v>
      </c>
      <c r="E3" s="55" t="n">
        <v>-24273.8649</v>
      </c>
      <c r="F3" s="55" t="n">
        <v>76.79918</v>
      </c>
      <c r="G3" s="55" t="n">
        <v>3.846154</v>
      </c>
      <c r="H3" s="55" t="n">
        <v>6.704117</v>
      </c>
      <c r="I3" s="55" t="n">
        <v>4.748597</v>
      </c>
      <c r="J3" s="55" t="n">
        <v>6.198584</v>
      </c>
      <c r="K3" s="55" t="n">
        <v>0</v>
      </c>
      <c r="L3" s="55" t="n">
        <v>0</v>
      </c>
      <c r="M3" s="56" t="n">
        <f aca="false">SUM(E3:L3)</f>
        <v>-24175.568268</v>
      </c>
      <c r="N3" s="57" t="n">
        <v>-0.114196</v>
      </c>
      <c r="O3" s="55" t="n">
        <v>-24862.39</v>
      </c>
      <c r="P3" s="55" t="n">
        <v>0</v>
      </c>
      <c r="Q3" s="55" t="n">
        <v>0</v>
      </c>
      <c r="R3" s="55" t="n">
        <v>0</v>
      </c>
      <c r="S3" s="55" t="n">
        <v>0</v>
      </c>
      <c r="T3" s="55" t="n">
        <v>941.23</v>
      </c>
      <c r="U3" s="55" t="n">
        <v>0</v>
      </c>
      <c r="V3" s="55" t="n">
        <v>0</v>
      </c>
      <c r="W3" s="56" t="n">
        <f aca="false">SUM(O3:V3)</f>
        <v>-23921.16</v>
      </c>
      <c r="X3" s="57" t="n">
        <v>-0.112994</v>
      </c>
    </row>
    <row r="4" customFormat="false" ht="15" hidden="false" customHeight="false" outlineLevel="0" collapsed="false">
      <c r="A4" s="0" t="n">
        <v>3</v>
      </c>
      <c r="B4" s="0" t="n">
        <v>27</v>
      </c>
      <c r="C4" s="0" t="s">
        <v>59</v>
      </c>
      <c r="D4" s="54" t="b">
        <f aca="false">FALSE()</f>
        <v>0</v>
      </c>
      <c r="E4" s="55" t="n">
        <v>-24273.8649</v>
      </c>
      <c r="F4" s="55" t="n">
        <v>76.79918</v>
      </c>
      <c r="G4" s="55" t="n">
        <v>3.846154</v>
      </c>
      <c r="H4" s="55" t="n">
        <v>6.704117</v>
      </c>
      <c r="I4" s="55" t="n">
        <v>4.748597</v>
      </c>
      <c r="J4" s="55" t="n">
        <v>6.198584</v>
      </c>
      <c r="K4" s="55" t="n">
        <v>0</v>
      </c>
      <c r="L4" s="55" t="n">
        <v>0</v>
      </c>
      <c r="M4" s="56" t="n">
        <f aca="false">SUM(E4:L4)</f>
        <v>-24175.568268</v>
      </c>
      <c r="N4" s="57" t="n">
        <v>-0.114196</v>
      </c>
      <c r="O4" s="55" t="n">
        <v>-20035.23</v>
      </c>
      <c r="P4" s="55" t="n">
        <v>0</v>
      </c>
      <c r="Q4" s="55" t="n">
        <v>0</v>
      </c>
      <c r="R4" s="55" t="n">
        <v>0</v>
      </c>
      <c r="S4" s="55" t="n">
        <v>0</v>
      </c>
      <c r="T4" s="55" t="n">
        <v>60.37</v>
      </c>
      <c r="U4" s="55" t="n">
        <v>0</v>
      </c>
      <c r="V4" s="55" t="n">
        <v>0</v>
      </c>
      <c r="W4" s="56" t="n">
        <f aca="false">SUM(O4:V4)</f>
        <v>-19974.86</v>
      </c>
      <c r="X4" s="57" t="n">
        <v>-0.094354</v>
      </c>
    </row>
    <row r="5" customFormat="false" ht="15" hidden="false" customHeight="false" outlineLevel="0" collapsed="false">
      <c r="A5" s="0" t="n">
        <v>4</v>
      </c>
      <c r="B5" s="0" t="n">
        <v>27</v>
      </c>
      <c r="C5" s="0" t="s">
        <v>60</v>
      </c>
      <c r="D5" s="54" t="b">
        <f aca="false">FALSE()</f>
        <v>0</v>
      </c>
      <c r="E5" s="55" t="n">
        <v>-24273.8649</v>
      </c>
      <c r="F5" s="55" t="n">
        <v>76.79918</v>
      </c>
      <c r="G5" s="55" t="n">
        <v>3.846154</v>
      </c>
      <c r="H5" s="55" t="n">
        <v>6.704117</v>
      </c>
      <c r="I5" s="55" t="n">
        <v>4.748597</v>
      </c>
      <c r="J5" s="55" t="n">
        <v>6.198584</v>
      </c>
      <c r="K5" s="55" t="n">
        <v>0</v>
      </c>
      <c r="L5" s="55" t="n">
        <v>0</v>
      </c>
      <c r="M5" s="56" t="n">
        <f aca="false">SUM(E5:L5)</f>
        <v>-24175.568268</v>
      </c>
      <c r="N5" s="57" t="n">
        <v>-0.114196</v>
      </c>
      <c r="O5" s="55" t="n">
        <v>-26264.32</v>
      </c>
      <c r="P5" s="55" t="n">
        <v>0</v>
      </c>
      <c r="Q5" s="55" t="n">
        <v>0</v>
      </c>
      <c r="R5" s="55" t="n">
        <v>0</v>
      </c>
      <c r="S5" s="55" t="n">
        <v>0</v>
      </c>
      <c r="T5" s="55" t="n">
        <v>216.3</v>
      </c>
      <c r="U5" s="55" t="n">
        <v>0</v>
      </c>
      <c r="V5" s="55" t="n">
        <v>0</v>
      </c>
      <c r="W5" s="56" t="n">
        <f aca="false">SUM(O5:V5)</f>
        <v>-26048.02</v>
      </c>
      <c r="X5" s="57" t="n">
        <v>-0.123041</v>
      </c>
    </row>
    <row r="6" customFormat="false" ht="15" hidden="false" customHeight="false" outlineLevel="0" collapsed="false">
      <c r="A6" s="0" t="n">
        <v>5</v>
      </c>
      <c r="B6" s="0" t="n">
        <v>27</v>
      </c>
      <c r="C6" s="0" t="s">
        <v>61</v>
      </c>
      <c r="D6" s="54" t="b">
        <f aca="false">FALSE()</f>
        <v>0</v>
      </c>
      <c r="E6" s="55" t="n">
        <v>-24273.8649</v>
      </c>
      <c r="F6" s="55" t="n">
        <v>76.79918</v>
      </c>
      <c r="G6" s="55" t="n">
        <v>3.846154</v>
      </c>
      <c r="H6" s="55" t="n">
        <v>6.704117</v>
      </c>
      <c r="I6" s="55" t="n">
        <v>4.748597</v>
      </c>
      <c r="J6" s="55" t="n">
        <v>6.198584</v>
      </c>
      <c r="K6" s="55" t="n">
        <v>0</v>
      </c>
      <c r="L6" s="55" t="n">
        <v>0</v>
      </c>
      <c r="M6" s="56" t="n">
        <f aca="false">SUM(E6:L6)</f>
        <v>-24175.568268</v>
      </c>
      <c r="N6" s="57" t="n">
        <v>-0.114196</v>
      </c>
      <c r="O6" s="55" t="n">
        <v>-22096.89</v>
      </c>
      <c r="P6" s="55" t="n">
        <v>0</v>
      </c>
      <c r="Q6" s="55" t="n">
        <v>0</v>
      </c>
      <c r="R6" s="55" t="n">
        <v>0</v>
      </c>
      <c r="S6" s="55" t="n">
        <v>0</v>
      </c>
      <c r="T6" s="55" t="n">
        <v>37.558</v>
      </c>
      <c r="U6" s="55" t="n">
        <v>0</v>
      </c>
      <c r="V6" s="55" t="n">
        <v>0</v>
      </c>
      <c r="W6" s="56" t="n">
        <f aca="false">SUM(O6:V6)</f>
        <v>-22059.332</v>
      </c>
      <c r="X6" s="57" t="n">
        <v>-0.1042</v>
      </c>
    </row>
    <row r="7" customFormat="false" ht="15" hidden="false" customHeight="false" outlineLevel="0" collapsed="false">
      <c r="A7" s="58" t="n">
        <v>6</v>
      </c>
      <c r="B7" s="58" t="n">
        <v>27</v>
      </c>
      <c r="C7" s="58" t="s">
        <v>112</v>
      </c>
      <c r="D7" s="59" t="b">
        <f aca="false">TRUE()</f>
        <v>1</v>
      </c>
      <c r="E7" s="60" t="n">
        <v>0</v>
      </c>
      <c r="F7" s="60" t="n">
        <v>76.79918</v>
      </c>
      <c r="G7" s="60" t="n">
        <v>0</v>
      </c>
      <c r="H7" s="60" t="n">
        <v>0</v>
      </c>
      <c r="I7" s="60" t="n">
        <v>4.748597</v>
      </c>
      <c r="J7" s="60" t="n">
        <v>6.198584</v>
      </c>
      <c r="K7" s="60" t="n">
        <v>0</v>
      </c>
      <c r="L7" s="60" t="n">
        <v>0</v>
      </c>
      <c r="M7" s="61" t="n">
        <f aca="false">SUM(E7:L7)</f>
        <v>87.746361</v>
      </c>
      <c r="N7" s="62" t="n">
        <v>0.000414</v>
      </c>
      <c r="O7" s="60" t="n">
        <v>0</v>
      </c>
      <c r="P7" s="60" t="n">
        <v>0</v>
      </c>
      <c r="Q7" s="60" t="n">
        <v>0</v>
      </c>
      <c r="R7" s="60" t="n">
        <v>0</v>
      </c>
      <c r="S7" s="60" t="n">
        <v>0</v>
      </c>
      <c r="T7" s="60" t="n">
        <v>0</v>
      </c>
      <c r="U7" s="60" t="n">
        <v>0</v>
      </c>
      <c r="V7" s="60" t="n">
        <v>0</v>
      </c>
      <c r="W7" s="61" t="n">
        <f aca="false">SUM(O7:V7)</f>
        <v>0</v>
      </c>
      <c r="X7" s="62" t="n">
        <v>0</v>
      </c>
      <c r="Y7" s="58"/>
    </row>
    <row r="8" customFormat="false" ht="15" hidden="false" customHeight="false" outlineLevel="0" collapsed="false">
      <c r="A8" s="58" t="n">
        <v>7</v>
      </c>
      <c r="B8" s="58" t="n">
        <v>27</v>
      </c>
      <c r="C8" s="58" t="s">
        <v>113</v>
      </c>
      <c r="D8" s="59" t="b">
        <f aca="false">TRUE()</f>
        <v>1</v>
      </c>
      <c r="E8" s="60" t="n">
        <v>0</v>
      </c>
      <c r="F8" s="60" t="n">
        <v>76.79918</v>
      </c>
      <c r="G8" s="60" t="n">
        <v>0</v>
      </c>
      <c r="H8" s="60" t="n">
        <v>0</v>
      </c>
      <c r="I8" s="60" t="n">
        <v>4.748597</v>
      </c>
      <c r="J8" s="60" t="n">
        <v>6.198584</v>
      </c>
      <c r="K8" s="60" t="n">
        <v>0</v>
      </c>
      <c r="L8" s="60" t="n">
        <v>0</v>
      </c>
      <c r="M8" s="61" t="n">
        <f aca="false">SUM(E8:L8)</f>
        <v>87.746361</v>
      </c>
      <c r="N8" s="62" t="n">
        <v>0.000414</v>
      </c>
      <c r="O8" s="60" t="n">
        <v>0</v>
      </c>
      <c r="P8" s="60" t="n">
        <v>0</v>
      </c>
      <c r="Q8" s="60" t="n">
        <v>0</v>
      </c>
      <c r="R8" s="60" t="n">
        <v>0</v>
      </c>
      <c r="S8" s="60" t="n">
        <v>0</v>
      </c>
      <c r="T8" s="60" t="n">
        <v>0</v>
      </c>
      <c r="U8" s="60" t="n">
        <v>0</v>
      </c>
      <c r="V8" s="60" t="n">
        <v>0</v>
      </c>
      <c r="W8" s="61" t="n">
        <f aca="false">SUM(O8:V8)</f>
        <v>0</v>
      </c>
      <c r="X8" s="62" t="n">
        <v>0</v>
      </c>
      <c r="Y8" s="58"/>
    </row>
    <row r="9" customFormat="false" ht="15" hidden="false" customHeight="false" outlineLevel="0" collapsed="false">
      <c r="A9" s="0" t="n">
        <v>8</v>
      </c>
      <c r="B9" s="0" t="n">
        <v>28</v>
      </c>
      <c r="C9" s="0" t="s">
        <v>64</v>
      </c>
      <c r="D9" s="54" t="b">
        <f aca="false">FALSE()</f>
        <v>0</v>
      </c>
      <c r="E9" s="55" t="n">
        <v>-24273.8649</v>
      </c>
      <c r="F9" s="55" t="n">
        <v>76.79918</v>
      </c>
      <c r="G9" s="55" t="n">
        <v>3.846154</v>
      </c>
      <c r="H9" s="55" t="n">
        <v>6.704117</v>
      </c>
      <c r="I9" s="55" t="n">
        <v>4.748597</v>
      </c>
      <c r="J9" s="55" t="n">
        <v>6.198584</v>
      </c>
      <c r="K9" s="55" t="n">
        <v>0</v>
      </c>
      <c r="L9" s="55" t="n">
        <v>0</v>
      </c>
      <c r="M9" s="56" t="n">
        <f aca="false">SUM(E9:L9)</f>
        <v>-24175.568268</v>
      </c>
      <c r="N9" s="57" t="n">
        <v>-0.114196</v>
      </c>
      <c r="O9" s="55" t="n">
        <v>-20115.58</v>
      </c>
      <c r="P9" s="55" t="n">
        <v>0</v>
      </c>
      <c r="Q9" s="55" t="n">
        <v>0</v>
      </c>
      <c r="R9" s="55" t="n">
        <v>0</v>
      </c>
      <c r="S9" s="55" t="n">
        <v>0</v>
      </c>
      <c r="T9" s="55" t="n">
        <v>1280.26</v>
      </c>
      <c r="U9" s="55" t="n">
        <v>0</v>
      </c>
      <c r="V9" s="55" t="n">
        <v>0</v>
      </c>
      <c r="W9" s="56" t="n">
        <f aca="false">SUM(O9:V9)</f>
        <v>-18835.32</v>
      </c>
      <c r="X9" s="57" t="n">
        <v>-0.088971</v>
      </c>
    </row>
    <row r="10" customFormat="false" ht="15" hidden="false" customHeight="false" outlineLevel="0" collapsed="false">
      <c r="A10" s="0" t="n">
        <v>9</v>
      </c>
      <c r="B10" s="0" t="n">
        <v>28</v>
      </c>
      <c r="C10" s="0" t="s">
        <v>65</v>
      </c>
      <c r="D10" s="54" t="b">
        <f aca="false">FALSE()</f>
        <v>0</v>
      </c>
      <c r="E10" s="55" t="n">
        <v>-24273.8649</v>
      </c>
      <c r="F10" s="55" t="n">
        <v>76.79918</v>
      </c>
      <c r="G10" s="55" t="n">
        <v>3.846154</v>
      </c>
      <c r="H10" s="55" t="n">
        <v>6.704117</v>
      </c>
      <c r="I10" s="55" t="n">
        <v>4.748597</v>
      </c>
      <c r="J10" s="55" t="n">
        <v>6.198584</v>
      </c>
      <c r="K10" s="55" t="n">
        <v>0</v>
      </c>
      <c r="L10" s="55" t="n">
        <v>0</v>
      </c>
      <c r="M10" s="56" t="n">
        <f aca="false">SUM(E10:L10)</f>
        <v>-24175.568268</v>
      </c>
      <c r="N10" s="57" t="n">
        <v>-0.114196</v>
      </c>
      <c r="O10" s="55" t="n">
        <v>-20144.4</v>
      </c>
      <c r="P10" s="55" t="n">
        <v>0</v>
      </c>
      <c r="Q10" s="55" t="n">
        <v>0</v>
      </c>
      <c r="R10" s="55" t="n">
        <v>0</v>
      </c>
      <c r="S10" s="55" t="n">
        <v>510.46</v>
      </c>
      <c r="T10" s="55" t="n">
        <v>0</v>
      </c>
      <c r="U10" s="55" t="n">
        <v>0</v>
      </c>
      <c r="V10" s="55" t="n">
        <v>0</v>
      </c>
      <c r="W10" s="56" t="n">
        <f aca="false">SUM(O10:V10)</f>
        <v>-19633.94</v>
      </c>
      <c r="X10" s="57" t="n">
        <v>-0.092743</v>
      </c>
    </row>
    <row r="11" customFormat="false" ht="15" hidden="false" customHeight="false" outlineLevel="0" collapsed="false">
      <c r="A11" s="0" t="n">
        <v>10</v>
      </c>
      <c r="B11" s="0" t="n">
        <v>28</v>
      </c>
      <c r="C11" s="0" t="s">
        <v>66</v>
      </c>
      <c r="D11" s="54" t="b">
        <f aca="false">FALSE()</f>
        <v>0</v>
      </c>
      <c r="E11" s="55" t="n">
        <v>-24273.8649</v>
      </c>
      <c r="F11" s="55" t="n">
        <v>76.79918</v>
      </c>
      <c r="G11" s="55" t="n">
        <v>3.846154</v>
      </c>
      <c r="H11" s="55" t="n">
        <v>6.704117</v>
      </c>
      <c r="I11" s="55" t="n">
        <v>4.748597</v>
      </c>
      <c r="J11" s="55" t="n">
        <v>6.198584</v>
      </c>
      <c r="K11" s="55" t="n">
        <v>0</v>
      </c>
      <c r="L11" s="55" t="n">
        <v>0</v>
      </c>
      <c r="M11" s="56" t="n">
        <f aca="false">SUM(E11:L11)</f>
        <v>-24175.568268</v>
      </c>
      <c r="N11" s="57" t="n">
        <v>-0.114196</v>
      </c>
      <c r="O11" s="55" t="n">
        <v>-20742.5</v>
      </c>
      <c r="P11" s="55" t="n">
        <v>0</v>
      </c>
      <c r="Q11" s="55" t="n">
        <v>0</v>
      </c>
      <c r="R11" s="55" t="n">
        <v>0</v>
      </c>
      <c r="S11" s="55" t="n">
        <v>0</v>
      </c>
      <c r="T11" s="55" t="n">
        <v>162.43</v>
      </c>
      <c r="U11" s="55" t="n">
        <v>0</v>
      </c>
      <c r="V11" s="55" t="n">
        <v>0</v>
      </c>
      <c r="W11" s="56" t="n">
        <f aca="false">SUM(O11:V11)</f>
        <v>-20580.07</v>
      </c>
      <c r="X11" s="57" t="n">
        <v>-0.097212</v>
      </c>
    </row>
    <row r="12" customFormat="false" ht="15" hidden="false" customHeight="false" outlineLevel="0" collapsed="false">
      <c r="A12" s="0" t="n">
        <v>11</v>
      </c>
      <c r="B12" s="0" t="n">
        <v>28</v>
      </c>
      <c r="C12" s="0" t="s">
        <v>67</v>
      </c>
      <c r="D12" s="54" t="b">
        <f aca="false">FALSE()</f>
        <v>0</v>
      </c>
      <c r="E12" s="55" t="n">
        <v>-24273.8649</v>
      </c>
      <c r="F12" s="55" t="n">
        <v>76.79918</v>
      </c>
      <c r="G12" s="55" t="n">
        <v>3.846154</v>
      </c>
      <c r="H12" s="55" t="n">
        <v>6.704117</v>
      </c>
      <c r="I12" s="55" t="n">
        <v>4.748597</v>
      </c>
      <c r="J12" s="55" t="n">
        <v>6.198584</v>
      </c>
      <c r="K12" s="55" t="n">
        <v>0</v>
      </c>
      <c r="L12" s="55" t="n">
        <v>0</v>
      </c>
      <c r="M12" s="56" t="n">
        <f aca="false">SUM(E12:L12)</f>
        <v>-24175.568268</v>
      </c>
      <c r="N12" s="57" t="n">
        <v>-0.114196</v>
      </c>
      <c r="O12" s="55" t="n">
        <v>-21722.29</v>
      </c>
      <c r="P12" s="55" t="n">
        <v>0</v>
      </c>
      <c r="Q12" s="55" t="n">
        <v>0</v>
      </c>
      <c r="R12" s="55" t="n">
        <v>0</v>
      </c>
      <c r="S12" s="55" t="n">
        <v>0</v>
      </c>
      <c r="T12" s="55" t="n">
        <v>46.68</v>
      </c>
      <c r="U12" s="55" t="n">
        <v>0</v>
      </c>
      <c r="V12" s="55" t="n">
        <v>0</v>
      </c>
      <c r="W12" s="56" t="n">
        <f aca="false">SUM(O12:V12)</f>
        <v>-21675.61</v>
      </c>
      <c r="X12" s="57" t="n">
        <v>-0.102387</v>
      </c>
    </row>
    <row r="13" customFormat="false" ht="15" hidden="false" customHeight="false" outlineLevel="0" collapsed="false">
      <c r="A13" s="0" t="n">
        <v>12</v>
      </c>
      <c r="B13" s="0" t="n">
        <v>28</v>
      </c>
      <c r="C13" s="0" t="s">
        <v>68</v>
      </c>
      <c r="D13" s="54" t="b">
        <f aca="false">FALSE()</f>
        <v>0</v>
      </c>
      <c r="E13" s="55" t="n">
        <v>-24273.8649</v>
      </c>
      <c r="F13" s="55" t="n">
        <v>76.79918</v>
      </c>
      <c r="G13" s="55" t="n">
        <v>3.846154</v>
      </c>
      <c r="H13" s="55" t="n">
        <v>6.704117</v>
      </c>
      <c r="I13" s="55" t="n">
        <v>4.748597</v>
      </c>
      <c r="J13" s="55" t="n">
        <v>6.198584</v>
      </c>
      <c r="K13" s="55" t="n">
        <v>0</v>
      </c>
      <c r="L13" s="55" t="n">
        <v>0</v>
      </c>
      <c r="M13" s="56" t="n">
        <f aca="false">SUM(E13:L13)</f>
        <v>-24175.568268</v>
      </c>
      <c r="N13" s="57" t="n">
        <v>-0.114196</v>
      </c>
      <c r="O13" s="55" t="n">
        <v>0</v>
      </c>
      <c r="P13" s="55" t="n">
        <v>0</v>
      </c>
      <c r="Q13" s="55" t="n">
        <v>0</v>
      </c>
      <c r="R13" s="55" t="n">
        <v>0</v>
      </c>
      <c r="S13" s="55" t="n">
        <v>0</v>
      </c>
      <c r="T13" s="55" t="n">
        <v>0</v>
      </c>
      <c r="U13" s="55" t="n">
        <v>0</v>
      </c>
      <c r="V13" s="55" t="n">
        <v>0</v>
      </c>
      <c r="W13" s="56" t="n">
        <f aca="false">SUM(O13:V13)</f>
        <v>0</v>
      </c>
      <c r="X13" s="57" t="n">
        <v>0</v>
      </c>
      <c r="Y13" s="55" t="n">
        <v>211702.0397</v>
      </c>
    </row>
    <row r="14" customFormat="false" ht="15" hidden="false" customHeight="false" outlineLevel="0" collapsed="false">
      <c r="A14" s="58" t="n">
        <v>13</v>
      </c>
      <c r="B14" s="58" t="n">
        <v>28</v>
      </c>
      <c r="C14" s="58" t="s">
        <v>114</v>
      </c>
      <c r="D14" s="59" t="b">
        <f aca="false">TRUE()</f>
        <v>1</v>
      </c>
      <c r="E14" s="60" t="n">
        <v>0</v>
      </c>
      <c r="F14" s="60" t="n">
        <v>76.79918</v>
      </c>
      <c r="G14" s="60" t="n">
        <v>0</v>
      </c>
      <c r="H14" s="60" t="n">
        <v>0</v>
      </c>
      <c r="I14" s="60" t="n">
        <v>4.748597</v>
      </c>
      <c r="J14" s="60" t="n">
        <v>6.198584</v>
      </c>
      <c r="K14" s="60" t="n">
        <v>0</v>
      </c>
      <c r="L14" s="60" t="n">
        <v>0</v>
      </c>
      <c r="M14" s="61" t="n">
        <f aca="false">SUM(E14:L14)</f>
        <v>87.746361</v>
      </c>
      <c r="N14" s="62" t="n">
        <v>0.000414</v>
      </c>
      <c r="O14" s="60" t="n">
        <v>0</v>
      </c>
      <c r="P14" s="60" t="n">
        <v>0</v>
      </c>
      <c r="Q14" s="60" t="n">
        <v>0</v>
      </c>
      <c r="R14" s="60" t="n">
        <v>0</v>
      </c>
      <c r="S14" s="60" t="n">
        <v>0</v>
      </c>
      <c r="T14" s="60" t="n">
        <v>0</v>
      </c>
      <c r="U14" s="60" t="n">
        <v>0</v>
      </c>
      <c r="V14" s="60" t="n">
        <v>0</v>
      </c>
      <c r="W14" s="61" t="n">
        <f aca="false">SUM(O14:V14)</f>
        <v>0</v>
      </c>
      <c r="X14" s="62" t="n">
        <v>0</v>
      </c>
      <c r="Y14" s="58"/>
    </row>
    <row r="15" customFormat="false" ht="15" hidden="false" customHeight="false" outlineLevel="0" collapsed="false">
      <c r="A15" s="58" t="n">
        <v>14</v>
      </c>
      <c r="B15" s="58" t="n">
        <v>28</v>
      </c>
      <c r="C15" s="58" t="s">
        <v>115</v>
      </c>
      <c r="D15" s="59" t="b">
        <f aca="false">TRUE()</f>
        <v>1</v>
      </c>
      <c r="E15" s="60" t="n">
        <v>0</v>
      </c>
      <c r="F15" s="60" t="n">
        <v>76.79918</v>
      </c>
      <c r="G15" s="60" t="n">
        <v>0</v>
      </c>
      <c r="H15" s="60" t="n">
        <v>0</v>
      </c>
      <c r="I15" s="60" t="n">
        <v>4.748597</v>
      </c>
      <c r="J15" s="60" t="n">
        <v>6.198584</v>
      </c>
      <c r="K15" s="60" t="n">
        <v>0</v>
      </c>
      <c r="L15" s="60" t="n">
        <v>0</v>
      </c>
      <c r="M15" s="61" t="n">
        <f aca="false">SUM(E15:L15)</f>
        <v>87.746361</v>
      </c>
      <c r="N15" s="62" t="n">
        <v>0.000414</v>
      </c>
      <c r="O15" s="60" t="n">
        <v>0</v>
      </c>
      <c r="P15" s="60" t="n">
        <v>0</v>
      </c>
      <c r="Q15" s="60" t="n">
        <v>0</v>
      </c>
      <c r="R15" s="60" t="n">
        <v>0</v>
      </c>
      <c r="S15" s="60" t="n">
        <v>0</v>
      </c>
      <c r="T15" s="60" t="n">
        <v>0</v>
      </c>
      <c r="U15" s="60" t="n">
        <v>0</v>
      </c>
      <c r="V15" s="60" t="n">
        <v>0</v>
      </c>
      <c r="W15" s="61" t="n">
        <f aca="false">SUM(O15:V15)</f>
        <v>0</v>
      </c>
      <c r="X15" s="62" t="n">
        <v>0</v>
      </c>
      <c r="Y15" s="58"/>
    </row>
    <row r="16" customFormat="false" ht="15" hidden="false" customHeight="false" outlineLevel="0" collapsed="false">
      <c r="A16" s="0" t="n">
        <v>15</v>
      </c>
      <c r="B16" s="0" t="n">
        <v>29</v>
      </c>
      <c r="C16" s="0" t="s">
        <v>71</v>
      </c>
      <c r="D16" s="54" t="b">
        <f aca="false">FALSE()</f>
        <v>0</v>
      </c>
      <c r="E16" s="55" t="n">
        <v>-24273.8649</v>
      </c>
      <c r="F16" s="55" t="n">
        <v>76.79918</v>
      </c>
      <c r="G16" s="55" t="n">
        <v>3.846154</v>
      </c>
      <c r="H16" s="55" t="n">
        <v>6.704117</v>
      </c>
      <c r="I16" s="55" t="n">
        <v>4.748597</v>
      </c>
      <c r="J16" s="55" t="n">
        <v>6.198584</v>
      </c>
      <c r="K16" s="55" t="n">
        <v>0</v>
      </c>
      <c r="L16" s="55" t="n">
        <v>0</v>
      </c>
      <c r="M16" s="56" t="n">
        <f aca="false">SUM(E16:L16)</f>
        <v>-24175.568268</v>
      </c>
      <c r="N16" s="57" t="n">
        <v>-0.114196</v>
      </c>
      <c r="O16" s="55" t="n">
        <v>0</v>
      </c>
      <c r="P16" s="55" t="n">
        <v>0</v>
      </c>
      <c r="Q16" s="55" t="n">
        <v>0</v>
      </c>
      <c r="R16" s="55" t="n">
        <v>0</v>
      </c>
      <c r="S16" s="55" t="n">
        <v>0</v>
      </c>
      <c r="T16" s="55" t="n">
        <v>0</v>
      </c>
      <c r="U16" s="55" t="n">
        <v>0</v>
      </c>
      <c r="V16" s="55" t="n">
        <v>0</v>
      </c>
      <c r="W16" s="56" t="n">
        <f aca="false">SUM(O16:V16)</f>
        <v>0</v>
      </c>
      <c r="X16" s="57" t="n">
        <v>0</v>
      </c>
    </row>
    <row r="17" customFormat="false" ht="15" hidden="false" customHeight="false" outlineLevel="0" collapsed="false">
      <c r="A17" s="0" t="n">
        <v>16</v>
      </c>
      <c r="B17" s="0" t="n">
        <v>29</v>
      </c>
      <c r="C17" s="0" t="s">
        <v>72</v>
      </c>
      <c r="D17" s="54" t="b">
        <f aca="false">FALSE()</f>
        <v>0</v>
      </c>
      <c r="E17" s="55" t="n">
        <v>-24273.8649</v>
      </c>
      <c r="F17" s="55" t="n">
        <v>76.79918</v>
      </c>
      <c r="G17" s="55" t="n">
        <v>3.846154</v>
      </c>
      <c r="H17" s="55" t="n">
        <v>6.704117</v>
      </c>
      <c r="I17" s="55" t="n">
        <v>4.748597</v>
      </c>
      <c r="J17" s="55" t="n">
        <v>6.198584</v>
      </c>
      <c r="K17" s="55" t="n">
        <v>0</v>
      </c>
      <c r="L17" s="55" t="n">
        <v>0</v>
      </c>
      <c r="M17" s="56" t="n">
        <f aca="false">SUM(E17:L17)</f>
        <v>-24175.568268</v>
      </c>
      <c r="N17" s="57" t="n">
        <v>-0.114196</v>
      </c>
      <c r="O17" s="55" t="n">
        <v>0</v>
      </c>
      <c r="P17" s="55" t="n">
        <v>0</v>
      </c>
      <c r="Q17" s="55" t="n">
        <v>0</v>
      </c>
      <c r="R17" s="55" t="n">
        <v>0</v>
      </c>
      <c r="S17" s="55" t="n">
        <v>0</v>
      </c>
      <c r="T17" s="55" t="n">
        <v>0</v>
      </c>
      <c r="U17" s="55" t="n">
        <v>0</v>
      </c>
      <c r="V17" s="55" t="n">
        <v>0</v>
      </c>
      <c r="W17" s="56" t="n">
        <f aca="false">SUM(O17:V17)</f>
        <v>0</v>
      </c>
      <c r="X17" s="57" t="n">
        <v>0</v>
      </c>
    </row>
    <row r="18" customFormat="false" ht="15" hidden="false" customHeight="false" outlineLevel="0" collapsed="false">
      <c r="A18" s="0" t="n">
        <v>17</v>
      </c>
      <c r="B18" s="0" t="n">
        <v>29</v>
      </c>
      <c r="C18" s="0" t="s">
        <v>73</v>
      </c>
      <c r="D18" s="54" t="b">
        <f aca="false">FALSE()</f>
        <v>0</v>
      </c>
      <c r="E18" s="55" t="n">
        <v>-24273.8649</v>
      </c>
      <c r="F18" s="55" t="n">
        <v>76.79918</v>
      </c>
      <c r="G18" s="55" t="n">
        <v>3.846154</v>
      </c>
      <c r="H18" s="55" t="n">
        <v>6.704117</v>
      </c>
      <c r="I18" s="55" t="n">
        <v>4.748597</v>
      </c>
      <c r="J18" s="55" t="n">
        <v>6.198584</v>
      </c>
      <c r="K18" s="55" t="n">
        <v>0</v>
      </c>
      <c r="L18" s="55" t="n">
        <v>0</v>
      </c>
      <c r="M18" s="56" t="n">
        <f aca="false">SUM(E18:L18)</f>
        <v>-24175.568268</v>
      </c>
      <c r="N18" s="57" t="n">
        <v>-0.114196</v>
      </c>
      <c r="O18" s="55" t="n">
        <v>0</v>
      </c>
      <c r="P18" s="55" t="n">
        <v>0</v>
      </c>
      <c r="Q18" s="55" t="n">
        <v>0</v>
      </c>
      <c r="R18" s="55" t="n">
        <v>0</v>
      </c>
      <c r="S18" s="55" t="n">
        <v>0</v>
      </c>
      <c r="T18" s="55" t="n">
        <v>0</v>
      </c>
      <c r="U18" s="55" t="n">
        <v>0</v>
      </c>
      <c r="V18" s="55" t="n">
        <v>0</v>
      </c>
      <c r="W18" s="56" t="n">
        <f aca="false">SUM(O18:V18)</f>
        <v>0</v>
      </c>
      <c r="X18" s="57" t="n">
        <v>0</v>
      </c>
    </row>
    <row r="19" customFormat="false" ht="15" hidden="false" customHeight="false" outlineLevel="0" collapsed="false">
      <c r="A19" s="0" t="n">
        <v>18</v>
      </c>
      <c r="B19" s="0" t="n">
        <v>29</v>
      </c>
      <c r="C19" s="0" t="s">
        <v>74</v>
      </c>
      <c r="D19" s="54" t="b">
        <f aca="false">FALSE()</f>
        <v>0</v>
      </c>
      <c r="E19" s="55" t="n">
        <v>-24273.8649</v>
      </c>
      <c r="F19" s="55" t="n">
        <v>76.79918</v>
      </c>
      <c r="G19" s="55" t="n">
        <v>3.846154</v>
      </c>
      <c r="H19" s="55" t="n">
        <v>6.704117</v>
      </c>
      <c r="I19" s="55" t="n">
        <v>4.748597</v>
      </c>
      <c r="J19" s="55" t="n">
        <v>6.198584</v>
      </c>
      <c r="K19" s="55" t="n">
        <v>0</v>
      </c>
      <c r="L19" s="55" t="n">
        <v>0</v>
      </c>
      <c r="M19" s="56" t="n">
        <f aca="false">SUM(E19:L19)</f>
        <v>-24175.568268</v>
      </c>
      <c r="N19" s="57" t="n">
        <v>-0.114196</v>
      </c>
      <c r="O19" s="55" t="n">
        <v>0</v>
      </c>
      <c r="P19" s="55" t="n">
        <v>0</v>
      </c>
      <c r="Q19" s="55" t="n">
        <v>0</v>
      </c>
      <c r="R19" s="55" t="n">
        <v>0</v>
      </c>
      <c r="S19" s="55" t="n">
        <v>0</v>
      </c>
      <c r="T19" s="55" t="n">
        <v>0</v>
      </c>
      <c r="U19" s="55" t="n">
        <v>0</v>
      </c>
      <c r="V19" s="55" t="n">
        <v>0</v>
      </c>
      <c r="W19" s="56" t="n">
        <f aca="false">SUM(O19:V19)</f>
        <v>0</v>
      </c>
      <c r="X19" s="57" t="n">
        <v>0</v>
      </c>
    </row>
    <row r="20" customFormat="false" ht="15" hidden="false" customHeight="false" outlineLevel="0" collapsed="false">
      <c r="A20" s="0" t="n">
        <v>19</v>
      </c>
      <c r="B20" s="0" t="n">
        <v>29</v>
      </c>
      <c r="C20" s="0" t="s">
        <v>75</v>
      </c>
      <c r="D20" s="54" t="b">
        <f aca="false">FALSE()</f>
        <v>0</v>
      </c>
      <c r="E20" s="55" t="n">
        <v>-24273.8649</v>
      </c>
      <c r="F20" s="55" t="n">
        <v>76.79918</v>
      </c>
      <c r="G20" s="55" t="n">
        <v>3.846154</v>
      </c>
      <c r="H20" s="55" t="n">
        <v>6.704117</v>
      </c>
      <c r="I20" s="55" t="n">
        <v>4.748597</v>
      </c>
      <c r="J20" s="55" t="n">
        <v>6.198584</v>
      </c>
      <c r="K20" s="55" t="n">
        <v>0</v>
      </c>
      <c r="L20" s="55" t="n">
        <v>0</v>
      </c>
      <c r="M20" s="56" t="n">
        <f aca="false">SUM(E20:L20)</f>
        <v>-24175.568268</v>
      </c>
      <c r="N20" s="57" t="n">
        <v>-0.114196</v>
      </c>
      <c r="O20" s="55" t="n">
        <v>0</v>
      </c>
      <c r="P20" s="55" t="n">
        <v>0</v>
      </c>
      <c r="Q20" s="55" t="n">
        <v>0</v>
      </c>
      <c r="R20" s="55" t="n">
        <v>0</v>
      </c>
      <c r="S20" s="55" t="n">
        <v>0</v>
      </c>
      <c r="T20" s="55" t="n">
        <v>0</v>
      </c>
      <c r="U20" s="55" t="n">
        <v>0</v>
      </c>
      <c r="V20" s="55" t="n">
        <v>0</v>
      </c>
      <c r="W20" s="56" t="n">
        <f aca="false">SUM(O20:V20)</f>
        <v>0</v>
      </c>
      <c r="X20" s="57" t="n">
        <v>0</v>
      </c>
    </row>
    <row r="21" customFormat="false" ht="15" hidden="false" customHeight="false" outlineLevel="0" collapsed="false">
      <c r="A21" s="58" t="n">
        <v>20</v>
      </c>
      <c r="B21" s="58" t="n">
        <v>29</v>
      </c>
      <c r="C21" s="58" t="s">
        <v>116</v>
      </c>
      <c r="D21" s="59" t="b">
        <f aca="false">TRUE()</f>
        <v>1</v>
      </c>
      <c r="E21" s="60" t="n">
        <v>0</v>
      </c>
      <c r="F21" s="60" t="n">
        <v>76.79918</v>
      </c>
      <c r="G21" s="60" t="n">
        <v>0</v>
      </c>
      <c r="H21" s="60" t="n">
        <v>0</v>
      </c>
      <c r="I21" s="60" t="n">
        <v>4.748597</v>
      </c>
      <c r="J21" s="60" t="n">
        <v>6.198584</v>
      </c>
      <c r="K21" s="60" t="n">
        <v>0</v>
      </c>
      <c r="L21" s="60" t="n">
        <v>0</v>
      </c>
      <c r="M21" s="61" t="n">
        <f aca="false">SUM(E21:L21)</f>
        <v>87.746361</v>
      </c>
      <c r="N21" s="62" t="n">
        <v>0.000414</v>
      </c>
      <c r="O21" s="60" t="n">
        <v>0</v>
      </c>
      <c r="P21" s="60" t="n">
        <v>0</v>
      </c>
      <c r="Q21" s="60" t="n">
        <v>0</v>
      </c>
      <c r="R21" s="60" t="n">
        <v>0</v>
      </c>
      <c r="S21" s="60" t="n">
        <v>0</v>
      </c>
      <c r="T21" s="60" t="n">
        <v>0</v>
      </c>
      <c r="U21" s="60" t="n">
        <v>0</v>
      </c>
      <c r="V21" s="60" t="n">
        <v>0</v>
      </c>
      <c r="W21" s="61" t="n">
        <f aca="false">SUM(O21:V21)</f>
        <v>0</v>
      </c>
      <c r="X21" s="62" t="n">
        <v>0</v>
      </c>
      <c r="Y21" s="58"/>
    </row>
    <row r="22" customFormat="false" ht="15" hidden="false" customHeight="false" outlineLevel="0" collapsed="false">
      <c r="A22" s="58" t="n">
        <v>21</v>
      </c>
      <c r="B22" s="58" t="n">
        <v>29</v>
      </c>
      <c r="C22" s="58" t="s">
        <v>117</v>
      </c>
      <c r="D22" s="59" t="b">
        <f aca="false">TRUE()</f>
        <v>1</v>
      </c>
      <c r="E22" s="60" t="n">
        <v>0</v>
      </c>
      <c r="F22" s="60" t="n">
        <v>76.79918</v>
      </c>
      <c r="G22" s="60" t="n">
        <v>0</v>
      </c>
      <c r="H22" s="60" t="n">
        <v>0</v>
      </c>
      <c r="I22" s="60" t="n">
        <v>4.748597</v>
      </c>
      <c r="J22" s="60" t="n">
        <v>6.198584</v>
      </c>
      <c r="K22" s="60" t="n">
        <v>0</v>
      </c>
      <c r="L22" s="60" t="n">
        <v>0</v>
      </c>
      <c r="M22" s="61" t="n">
        <f aca="false">SUM(E22:L22)</f>
        <v>87.746361</v>
      </c>
      <c r="N22" s="62" t="n">
        <v>0.000296</v>
      </c>
      <c r="O22" s="60" t="n">
        <v>0</v>
      </c>
      <c r="P22" s="60" t="n">
        <v>0</v>
      </c>
      <c r="Q22" s="60" t="n">
        <v>0</v>
      </c>
      <c r="R22" s="60" t="n">
        <v>0</v>
      </c>
      <c r="S22" s="60" t="n">
        <v>0</v>
      </c>
      <c r="T22" s="60" t="n">
        <v>0</v>
      </c>
      <c r="U22" s="60" t="n">
        <v>0</v>
      </c>
      <c r="V22" s="60" t="n">
        <v>0</v>
      </c>
      <c r="W22" s="61" t="n">
        <f aca="false">SUM(O22:V22)</f>
        <v>0</v>
      </c>
      <c r="X22" s="62" t="n">
        <v>0</v>
      </c>
      <c r="Y22" s="58"/>
    </row>
    <row r="23" customFormat="false" ht="15" hidden="false" customHeight="false" outlineLevel="0" collapsed="false">
      <c r="A23" s="0" t="n">
        <v>22</v>
      </c>
      <c r="B23" s="0" t="n">
        <v>30</v>
      </c>
      <c r="C23" s="0" t="s">
        <v>78</v>
      </c>
      <c r="D23" s="54" t="b">
        <f aca="false">FALSE()</f>
        <v>0</v>
      </c>
      <c r="E23" s="55" t="n">
        <v>-24273.8649</v>
      </c>
      <c r="F23" s="55" t="n">
        <v>76.79918</v>
      </c>
      <c r="G23" s="55" t="n">
        <v>3.846154</v>
      </c>
      <c r="H23" s="55" t="n">
        <v>6.704117</v>
      </c>
      <c r="I23" s="55" t="n">
        <v>4.748597</v>
      </c>
      <c r="J23" s="55" t="n">
        <v>6.198584</v>
      </c>
      <c r="K23" s="55" t="n">
        <v>0</v>
      </c>
      <c r="L23" s="55" t="n">
        <v>0</v>
      </c>
      <c r="M23" s="56" t="n">
        <f aca="false">SUM(E23:L23)</f>
        <v>-24175.568268</v>
      </c>
      <c r="N23" s="57" t="n">
        <v>-0.114196</v>
      </c>
      <c r="O23" s="55" t="n">
        <v>0</v>
      </c>
      <c r="P23" s="55" t="n">
        <v>0</v>
      </c>
      <c r="Q23" s="55" t="n">
        <v>0</v>
      </c>
      <c r="R23" s="55" t="n">
        <v>0</v>
      </c>
      <c r="S23" s="55" t="n">
        <v>0</v>
      </c>
      <c r="T23" s="55" t="n">
        <v>0</v>
      </c>
      <c r="U23" s="55" t="n">
        <v>0</v>
      </c>
      <c r="V23" s="55" t="n">
        <v>0</v>
      </c>
      <c r="W23" s="56" t="n">
        <f aca="false">SUM(O23:V23)</f>
        <v>0</v>
      </c>
      <c r="X23" s="57" t="n">
        <v>0</v>
      </c>
    </row>
    <row r="24" customFormat="false" ht="15" hidden="false" customHeight="false" outlineLevel="0" collapsed="false">
      <c r="A24" s="0" t="n">
        <v>23</v>
      </c>
      <c r="B24" s="0" t="n">
        <v>30</v>
      </c>
      <c r="C24" s="0" t="s">
        <v>79</v>
      </c>
      <c r="D24" s="54" t="b">
        <f aca="false">FALSE()</f>
        <v>0</v>
      </c>
      <c r="E24" s="55" t="n">
        <v>-24273.8649</v>
      </c>
      <c r="F24" s="55" t="n">
        <v>76.79918</v>
      </c>
      <c r="G24" s="55" t="n">
        <v>3.846154</v>
      </c>
      <c r="H24" s="55" t="n">
        <v>6.704117</v>
      </c>
      <c r="I24" s="55" t="n">
        <v>4.748597</v>
      </c>
      <c r="J24" s="55" t="n">
        <v>6.198584</v>
      </c>
      <c r="K24" s="55" t="n">
        <v>0</v>
      </c>
      <c r="L24" s="55" t="n">
        <v>0</v>
      </c>
      <c r="M24" s="56" t="n">
        <f aca="false">SUM(E24:L24)</f>
        <v>-24175.568268</v>
      </c>
      <c r="N24" s="57" t="n">
        <v>-0.114196</v>
      </c>
      <c r="O24" s="55" t="n">
        <v>0</v>
      </c>
      <c r="P24" s="55" t="n">
        <v>0</v>
      </c>
      <c r="Q24" s="55" t="n">
        <v>0</v>
      </c>
      <c r="R24" s="55" t="n">
        <v>0</v>
      </c>
      <c r="S24" s="55" t="n">
        <v>0</v>
      </c>
      <c r="T24" s="55" t="n">
        <v>0</v>
      </c>
      <c r="U24" s="55" t="n">
        <v>0</v>
      </c>
      <c r="V24" s="55" t="n">
        <v>0</v>
      </c>
      <c r="W24" s="56" t="n">
        <f aca="false">SUM(O24:V24)</f>
        <v>0</v>
      </c>
      <c r="X24" s="57" t="n">
        <v>0</v>
      </c>
    </row>
    <row r="25" customFormat="false" ht="15" hidden="false" customHeight="false" outlineLevel="0" collapsed="false">
      <c r="A25" s="0" t="n">
        <v>24</v>
      </c>
      <c r="B25" s="0" t="n">
        <v>30</v>
      </c>
      <c r="C25" s="0" t="s">
        <v>80</v>
      </c>
      <c r="D25" s="54" t="b">
        <f aca="false">FALSE()</f>
        <v>0</v>
      </c>
      <c r="E25" s="55" t="n">
        <v>-24273.8649</v>
      </c>
      <c r="F25" s="55" t="n">
        <v>76.79918</v>
      </c>
      <c r="G25" s="55" t="n">
        <v>3.846154</v>
      </c>
      <c r="H25" s="55" t="n">
        <v>6.704117</v>
      </c>
      <c r="I25" s="55" t="n">
        <v>4.748597</v>
      </c>
      <c r="J25" s="55" t="n">
        <v>6.198584</v>
      </c>
      <c r="K25" s="55" t="n">
        <v>0</v>
      </c>
      <c r="L25" s="55" t="n">
        <v>0</v>
      </c>
      <c r="M25" s="56" t="n">
        <f aca="false">SUM(E25:L25)</f>
        <v>-24175.568268</v>
      </c>
      <c r="N25" s="57" t="n">
        <v>-0.114196</v>
      </c>
      <c r="O25" s="55" t="n">
        <v>0</v>
      </c>
      <c r="P25" s="55" t="n">
        <v>0</v>
      </c>
      <c r="Q25" s="55" t="n">
        <v>0</v>
      </c>
      <c r="R25" s="55" t="n">
        <v>0</v>
      </c>
      <c r="S25" s="55" t="n">
        <v>0</v>
      </c>
      <c r="T25" s="55" t="n">
        <v>0</v>
      </c>
      <c r="U25" s="55" t="n">
        <v>0</v>
      </c>
      <c r="V25" s="55" t="n">
        <v>0</v>
      </c>
      <c r="W25" s="56" t="n">
        <f aca="false">SUM(O25:V25)</f>
        <v>0</v>
      </c>
      <c r="X25" s="57" t="n">
        <v>0</v>
      </c>
    </row>
    <row r="26" customFormat="false" ht="15" hidden="false" customHeight="false" outlineLevel="0" collapsed="false">
      <c r="A26" s="0" t="n">
        <v>25</v>
      </c>
      <c r="B26" s="0" t="n">
        <v>30</v>
      </c>
      <c r="C26" s="0" t="s">
        <v>81</v>
      </c>
      <c r="D26" s="54" t="b">
        <f aca="false">FALSE()</f>
        <v>0</v>
      </c>
      <c r="E26" s="55" t="n">
        <v>-24273.8649</v>
      </c>
      <c r="F26" s="55" t="n">
        <v>76.79918</v>
      </c>
      <c r="G26" s="55" t="n">
        <v>3.846154</v>
      </c>
      <c r="H26" s="55" t="n">
        <v>6.704117</v>
      </c>
      <c r="I26" s="55" t="n">
        <v>4.748597</v>
      </c>
      <c r="J26" s="55" t="n">
        <v>6.198584</v>
      </c>
      <c r="K26" s="55" t="n">
        <v>0</v>
      </c>
      <c r="L26" s="55" t="n">
        <v>0</v>
      </c>
      <c r="M26" s="56" t="n">
        <f aca="false">SUM(E26:L26)</f>
        <v>-24175.568268</v>
      </c>
      <c r="N26" s="57" t="n">
        <v>-0.114196</v>
      </c>
      <c r="O26" s="55" t="n">
        <v>0</v>
      </c>
      <c r="P26" s="55" t="n">
        <v>0</v>
      </c>
      <c r="Q26" s="55" t="n">
        <v>0</v>
      </c>
      <c r="R26" s="55" t="n">
        <v>0</v>
      </c>
      <c r="S26" s="55" t="n">
        <v>0</v>
      </c>
      <c r="T26" s="55" t="n">
        <v>0</v>
      </c>
      <c r="U26" s="55" t="n">
        <v>0</v>
      </c>
      <c r="V26" s="55" t="n">
        <v>0</v>
      </c>
      <c r="W26" s="56" t="n">
        <f aca="false">SUM(O26:V26)</f>
        <v>0</v>
      </c>
      <c r="X26" s="57" t="n">
        <v>0</v>
      </c>
    </row>
    <row r="27" customFormat="false" ht="15" hidden="false" customHeight="false" outlineLevel="0" collapsed="false">
      <c r="A27" s="0" t="n">
        <v>26</v>
      </c>
      <c r="B27" s="0" t="n">
        <v>30</v>
      </c>
      <c r="C27" s="0" t="s">
        <v>82</v>
      </c>
      <c r="D27" s="54" t="b">
        <f aca="false">FALSE()</f>
        <v>0</v>
      </c>
      <c r="E27" s="55" t="n">
        <v>-24273.8649</v>
      </c>
      <c r="F27" s="55" t="n">
        <v>76.79918</v>
      </c>
      <c r="G27" s="55" t="n">
        <v>3.846154</v>
      </c>
      <c r="H27" s="55" t="n">
        <v>6.704117</v>
      </c>
      <c r="I27" s="55" t="n">
        <v>4.748597</v>
      </c>
      <c r="J27" s="55" t="n">
        <v>6.198584</v>
      </c>
      <c r="K27" s="55" t="n">
        <v>0</v>
      </c>
      <c r="L27" s="55" t="n">
        <v>0</v>
      </c>
      <c r="M27" s="56" t="n">
        <f aca="false">SUM(E27:L27)</f>
        <v>-24175.568268</v>
      </c>
      <c r="N27" s="57" t="n">
        <v>-0.114196</v>
      </c>
      <c r="O27" s="55" t="n">
        <v>0</v>
      </c>
      <c r="P27" s="55" t="n">
        <v>0</v>
      </c>
      <c r="Q27" s="55" t="n">
        <v>0</v>
      </c>
      <c r="R27" s="55" t="n">
        <v>0</v>
      </c>
      <c r="S27" s="55" t="n">
        <v>0</v>
      </c>
      <c r="T27" s="55" t="n">
        <v>0</v>
      </c>
      <c r="U27" s="55" t="n">
        <v>0</v>
      </c>
      <c r="V27" s="55" t="n">
        <v>0</v>
      </c>
      <c r="W27" s="56" t="n">
        <f aca="false">SUM(O27:V27)</f>
        <v>0</v>
      </c>
      <c r="X27" s="57" t="n">
        <v>0</v>
      </c>
    </row>
    <row r="28" customFormat="false" ht="15" hidden="false" customHeight="false" outlineLevel="0" collapsed="false">
      <c r="A28" s="58" t="n">
        <v>27</v>
      </c>
      <c r="B28" s="58" t="n">
        <v>30</v>
      </c>
      <c r="C28" s="58" t="s">
        <v>118</v>
      </c>
      <c r="D28" s="59" t="b">
        <f aca="false">TRUE()</f>
        <v>1</v>
      </c>
      <c r="E28" s="60" t="n">
        <v>0</v>
      </c>
      <c r="F28" s="60" t="n">
        <v>76.79918</v>
      </c>
      <c r="G28" s="60" t="n">
        <v>0</v>
      </c>
      <c r="H28" s="60" t="n">
        <v>0</v>
      </c>
      <c r="I28" s="60" t="n">
        <v>4.748597</v>
      </c>
      <c r="J28" s="60" t="n">
        <v>6.198584</v>
      </c>
      <c r="K28" s="60" t="n">
        <v>0</v>
      </c>
      <c r="L28" s="60" t="n">
        <v>0</v>
      </c>
      <c r="M28" s="61" t="n">
        <f aca="false">SUM(E28:L28)</f>
        <v>87.746361</v>
      </c>
      <c r="N28" s="62" t="n">
        <v>0.000414</v>
      </c>
      <c r="O28" s="60" t="n">
        <v>0</v>
      </c>
      <c r="P28" s="60" t="n">
        <v>0</v>
      </c>
      <c r="Q28" s="60" t="n">
        <v>0</v>
      </c>
      <c r="R28" s="60" t="n">
        <v>0</v>
      </c>
      <c r="S28" s="60" t="n">
        <v>0</v>
      </c>
      <c r="T28" s="60" t="n">
        <v>0</v>
      </c>
      <c r="U28" s="60" t="n">
        <v>0</v>
      </c>
      <c r="V28" s="60" t="n">
        <v>0</v>
      </c>
      <c r="W28" s="61" t="n">
        <f aca="false">SUM(O28:V28)</f>
        <v>0</v>
      </c>
      <c r="X28" s="62" t="n">
        <v>0</v>
      </c>
      <c r="Y28" s="58"/>
    </row>
    <row r="29" customFormat="false" ht="15" hidden="false" customHeight="false" outlineLevel="0" collapsed="false">
      <c r="A29" s="58" t="n">
        <v>28</v>
      </c>
      <c r="B29" s="58" t="n">
        <v>30</v>
      </c>
      <c r="C29" s="58" t="s">
        <v>119</v>
      </c>
      <c r="D29" s="59" t="b">
        <f aca="false">TRUE()</f>
        <v>1</v>
      </c>
      <c r="E29" s="60" t="n">
        <v>0</v>
      </c>
      <c r="F29" s="60" t="n">
        <v>76.79918</v>
      </c>
      <c r="G29" s="60" t="n">
        <v>0</v>
      </c>
      <c r="H29" s="60" t="n">
        <v>0</v>
      </c>
      <c r="I29" s="60" t="n">
        <v>4.748597</v>
      </c>
      <c r="J29" s="60" t="n">
        <v>6.198584</v>
      </c>
      <c r="K29" s="60" t="n">
        <v>0</v>
      </c>
      <c r="L29" s="60" t="n">
        <v>0</v>
      </c>
      <c r="M29" s="61" t="n">
        <f aca="false">SUM(E29:L29)</f>
        <v>87.746361</v>
      </c>
      <c r="N29" s="62" t="n">
        <v>0.000414</v>
      </c>
      <c r="O29" s="60" t="n">
        <v>0</v>
      </c>
      <c r="P29" s="60" t="n">
        <v>0</v>
      </c>
      <c r="Q29" s="60" t="n">
        <v>0</v>
      </c>
      <c r="R29" s="60" t="n">
        <v>0</v>
      </c>
      <c r="S29" s="60" t="n">
        <v>0</v>
      </c>
      <c r="T29" s="60" t="n">
        <v>0</v>
      </c>
      <c r="U29" s="60" t="n">
        <v>0</v>
      </c>
      <c r="V29" s="60" t="n">
        <v>0</v>
      </c>
      <c r="W29" s="61" t="n">
        <f aca="false">SUM(O29:V29)</f>
        <v>0</v>
      </c>
      <c r="X29" s="62" t="n">
        <v>0</v>
      </c>
      <c r="Y29" s="58"/>
    </row>
    <row r="31" customFormat="false" ht="15" hidden="false" customHeight="false" outlineLevel="0" collapsed="false">
      <c r="B31" s="63" t="s">
        <v>120</v>
      </c>
    </row>
    <row r="32" customFormat="false" ht="15" hidden="false" customHeight="false" outlineLevel="0" collapsed="false">
      <c r="B32" s="64" t="s">
        <v>121</v>
      </c>
      <c r="C32" s="65" t="n">
        <v>13</v>
      </c>
    </row>
    <row r="33" customFormat="false" ht="15" hidden="false" customHeight="false" outlineLevel="0" collapsed="false">
      <c r="B33" s="64" t="s">
        <v>122</v>
      </c>
      <c r="C33" s="66" t="n">
        <v>5927657.111</v>
      </c>
    </row>
    <row r="34" customFormat="false" ht="15" hidden="false" customHeight="false" outlineLevel="0" collapsed="false">
      <c r="B34" s="64" t="s">
        <v>123</v>
      </c>
      <c r="C34" s="66" t="n">
        <v>26.36813187</v>
      </c>
    </row>
    <row r="35" customFormat="false" ht="15" hidden="false" customHeight="false" outlineLevel="0" collapsed="false">
      <c r="B35" s="64" t="s">
        <v>124</v>
      </c>
      <c r="C35" s="66" t="n">
        <v>46.68</v>
      </c>
    </row>
    <row r="36" customFormat="false" ht="15" hidden="false" customHeight="false" outlineLevel="0" collapsed="false">
      <c r="B36" s="67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2026-07-11T05:14:58Z</dcterms:created>
  <dc:creator>openpyxl</dc:creator>
  <dc:description/>
  <dc:language>en-US</dc:language>
  <cp:lastModifiedBy/>
  <dcterms:modified xsi:type="dcterms:W3CDTF">2026-07-11T05:20:50Z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